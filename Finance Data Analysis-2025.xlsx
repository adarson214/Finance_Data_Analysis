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byd\Downloads\"/>
    </mc:Choice>
  </mc:AlternateContent>
  <xr:revisionPtr revIDLastSave="0" documentId="8_{98B5E45D-E800-41B5-829F-4D09C25F2D02}" xr6:coauthVersionLast="47" xr6:coauthVersionMax="47" xr10:uidLastSave="{00000000-0000-0000-0000-000000000000}"/>
  <bookViews>
    <workbookView xWindow="-98" yWindow="-98" windowWidth="21795" windowHeight="12975" xr2:uid="{716CCC3C-7E89-41F1-9656-C21D477AAACF}"/>
  </bookViews>
  <sheets>
    <sheet name="Dashboard" sheetId="19" r:id="rId1"/>
    <sheet name="Pivot Table" sheetId="14" r:id="rId2"/>
    <sheet name="2025" sheetId="5" r:id="rId3"/>
    <sheet name="2024" sheetId="1" state="hidden" r:id="rId4"/>
    <sheet name="+Sheet" sheetId="6" state="hidden" r:id="rId5"/>
  </sheets>
  <definedNames>
    <definedName name="_xlchart.v1.0" hidden="1">'Pivot Table'!$P$22:$P$28</definedName>
    <definedName name="_xlchart.v1.1" hidden="1">'Pivot Table'!$Q$22:$Q$28</definedName>
    <definedName name="Slicer_Month2">#N/A</definedName>
  </definedNames>
  <calcPr calcId="191028"/>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1" i="14" l="1"/>
  <c r="T30" i="14"/>
  <c r="T23" i="14"/>
  <c r="T24" i="14"/>
  <c r="T25" i="14"/>
  <c r="T26" i="14"/>
  <c r="T27" i="14"/>
  <c r="T28" i="14"/>
  <c r="T29" i="14"/>
  <c r="T22" i="14"/>
  <c r="I11" i="5"/>
  <c r="I14" i="5"/>
  <c r="I33" i="5"/>
  <c r="I58" i="5"/>
  <c r="I65" i="5"/>
  <c r="I72" i="5"/>
  <c r="I82" i="5"/>
  <c r="I109" i="5"/>
  <c r="I115" i="5"/>
  <c r="I135" i="5"/>
  <c r="I163" i="5"/>
  <c r="I175" i="5"/>
  <c r="I191" i="5"/>
  <c r="I208" i="5"/>
  <c r="I235" i="5"/>
  <c r="I243" i="5"/>
  <c r="I258" i="5"/>
  <c r="I284" i="5"/>
  <c r="I293" i="5"/>
  <c r="I321" i="5"/>
  <c r="I322" i="5"/>
  <c r="I328" i="5"/>
  <c r="I352" i="5"/>
  <c r="I375"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E30" i="14"/>
  <c r="P22" i="14"/>
  <c r="P25" i="14"/>
  <c r="P26" i="14"/>
  <c r="P28" i="14"/>
  <c r="P27" i="14"/>
  <c r="P23" i="14"/>
  <c r="P24" i="14"/>
  <c r="M24" i="14"/>
  <c r="M23" i="14"/>
  <c r="G24" i="14"/>
  <c r="G25" i="14"/>
  <c r="G26" i="14"/>
  <c r="G27" i="14"/>
  <c r="G28" i="14"/>
  <c r="G29" i="14"/>
  <c r="G30" i="14"/>
  <c r="G31" i="14"/>
  <c r="G32" i="14"/>
  <c r="G33" i="14"/>
  <c r="G34" i="14"/>
  <c r="G23" i="14"/>
  <c r="A24" i="14"/>
  <c r="A25" i="14"/>
  <c r="A26" i="14"/>
  <c r="A23" i="14"/>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G4" i="5"/>
  <c r="A427" i="5"/>
  <c r="A424" i="5"/>
  <c r="A425" i="5"/>
  <c r="A423" i="5"/>
  <c r="A421" i="5"/>
  <c r="A422" i="5"/>
  <c r="A416" i="5"/>
  <c r="A404" i="5"/>
  <c r="A405" i="5"/>
  <c r="Q23" i="14"/>
  <c r="U31" i="14"/>
  <c r="U25" i="14"/>
  <c r="U26" i="14"/>
  <c r="Q24" i="14"/>
  <c r="U24" i="14"/>
  <c r="U27" i="14"/>
  <c r="E23" i="14"/>
  <c r="U28" i="14"/>
  <c r="U29" i="14"/>
  <c r="N24" i="14"/>
  <c r="U30" i="14"/>
  <c r="N23" i="14"/>
  <c r="U23" i="14"/>
  <c r="I25" i="14"/>
  <c r="U22" i="14"/>
  <c r="H33" i="14"/>
  <c r="I33" i="14"/>
  <c r="H34" i="14"/>
  <c r="E24" i="14"/>
  <c r="I32" i="14"/>
  <c r="H25" i="14"/>
  <c r="B24" i="14"/>
  <c r="I34" i="14"/>
  <c r="H24" i="14"/>
  <c r="I24" i="14"/>
  <c r="H23" i="14"/>
  <c r="H31" i="14"/>
  <c r="H32" i="14"/>
  <c r="I23" i="14"/>
  <c r="Q22" i="14"/>
  <c r="B25" i="14"/>
  <c r="Q25" i="14"/>
  <c r="B26" i="14"/>
  <c r="Q26" i="14"/>
  <c r="B23" i="14"/>
  <c r="Q28" i="14"/>
  <c r="Q27" i="14"/>
  <c r="H26" i="14"/>
  <c r="H27" i="14"/>
  <c r="H28" i="14"/>
  <c r="H29" i="14"/>
  <c r="H30" i="14"/>
  <c r="E25" i="14" l="1"/>
  <c r="E31" i="14" s="1"/>
  <c r="A378" i="5"/>
  <c r="I26" i="14"/>
  <c r="I27" i="14"/>
  <c r="I31" i="14"/>
  <c r="I30" i="14"/>
  <c r="I29" i="14"/>
  <c r="I28" i="14"/>
  <c r="J5" i="5" l="1"/>
  <c r="A312" i="5"/>
  <c r="A258" i="5"/>
  <c r="C3" i="1"/>
  <c r="A238" i="5"/>
  <c r="A240" i="5"/>
  <c r="A208" i="5"/>
  <c r="A195" i="5"/>
  <c r="A196" i="5"/>
  <c r="A193" i="5"/>
  <c r="A161"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6" i="5"/>
  <c r="A420" i="5"/>
  <c r="A419" i="5"/>
  <c r="A418" i="5"/>
  <c r="A417" i="5"/>
  <c r="A415" i="5"/>
  <c r="A414" i="5"/>
  <c r="A413" i="5"/>
  <c r="A412" i="5"/>
  <c r="A411" i="5"/>
  <c r="A410" i="5"/>
  <c r="A409" i="5"/>
  <c r="A408" i="5"/>
  <c r="A407" i="5"/>
  <c r="A406"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26" i="5"/>
  <c r="A325" i="5"/>
  <c r="A324" i="5"/>
  <c r="A323" i="5"/>
  <c r="A322" i="5"/>
  <c r="A321" i="5"/>
  <c r="A320" i="5"/>
  <c r="A319" i="5"/>
  <c r="A318" i="5"/>
  <c r="A317" i="5"/>
  <c r="A316" i="5"/>
  <c r="A315" i="5"/>
  <c r="A314" i="5"/>
  <c r="A313"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7" i="5"/>
  <c r="A256" i="5"/>
  <c r="A255" i="5"/>
  <c r="A254" i="5"/>
  <c r="A253" i="5"/>
  <c r="A252" i="5"/>
  <c r="A251" i="5"/>
  <c r="A250" i="5"/>
  <c r="A249" i="5"/>
  <c r="A248" i="5"/>
  <c r="A247" i="5"/>
  <c r="A246" i="5"/>
  <c r="A245" i="5"/>
  <c r="A244" i="5"/>
  <c r="A243" i="5"/>
  <c r="A242" i="5"/>
  <c r="A241" i="5"/>
  <c r="A239"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7" i="5"/>
  <c r="A206" i="5"/>
  <c r="A205" i="5"/>
  <c r="A204" i="5"/>
  <c r="A203" i="5"/>
  <c r="A202" i="5"/>
  <c r="A201" i="5"/>
  <c r="A200" i="5"/>
  <c r="A199" i="5"/>
  <c r="A198" i="5"/>
  <c r="A197" i="5"/>
  <c r="A194"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0" i="5"/>
  <c r="A159" i="5"/>
  <c r="A158" i="5"/>
  <c r="A157" i="5"/>
  <c r="A156" i="5"/>
  <c r="A155" i="5"/>
  <c r="A154" i="5"/>
  <c r="A153" i="5"/>
  <c r="A152" i="5"/>
  <c r="A114" i="5"/>
  <c r="A72" i="5"/>
  <c r="G7" i="5"/>
  <c r="A73" i="5"/>
  <c r="A74" i="5"/>
  <c r="A65" i="5"/>
  <c r="A38" i="5"/>
  <c r="A39" i="5"/>
  <c r="A40" i="5"/>
  <c r="A41" i="5"/>
  <c r="A42" i="5"/>
  <c r="A43" i="5"/>
  <c r="A44" i="5"/>
  <c r="A45" i="5"/>
  <c r="A46" i="5"/>
  <c r="A47" i="5"/>
  <c r="A48" i="5"/>
  <c r="A49" i="5"/>
  <c r="A50" i="5"/>
  <c r="A51" i="5"/>
  <c r="A52" i="5"/>
  <c r="A53" i="5"/>
  <c r="A54" i="5"/>
  <c r="A55" i="5"/>
  <c r="A56" i="5"/>
  <c r="A57" i="5"/>
  <c r="A58" i="5"/>
  <c r="A59" i="5"/>
  <c r="A60" i="5"/>
  <c r="A61" i="5"/>
  <c r="A62" i="5"/>
  <c r="A63" i="5"/>
  <c r="A64" i="5"/>
  <c r="A66" i="5"/>
  <c r="A67" i="5"/>
  <c r="A68" i="5"/>
  <c r="A69" i="5"/>
  <c r="A70" i="5"/>
  <c r="A71"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G13" i="5"/>
  <c r="G14" i="5" s="1"/>
  <c r="G15" i="5" s="1"/>
  <c r="G16" i="5" s="1"/>
  <c r="G17" i="5" s="1"/>
  <c r="G18" i="5" s="1"/>
  <c r="G19" i="5" s="1"/>
  <c r="G20" i="5" s="1"/>
  <c r="G21" i="5" s="1"/>
  <c r="G22" i="5" s="1"/>
  <c r="G23" i="5" s="1"/>
  <c r="G24" i="5" s="1"/>
  <c r="G25" i="5" s="1"/>
  <c r="G26" i="5" s="1"/>
  <c r="G27" i="5" s="1"/>
  <c r="G28" i="5" s="1"/>
  <c r="G29" i="5" s="1"/>
  <c r="G30" i="5" s="1"/>
  <c r="G31" i="5" s="1"/>
  <c r="G32" i="5" s="1"/>
  <c r="G33" i="5" s="1"/>
  <c r="G34" i="5" s="1"/>
  <c r="G35" i="5" s="1"/>
  <c r="G36" i="5" s="1"/>
  <c r="G37" i="5" s="1"/>
  <c r="A11" i="5"/>
  <c r="G11" i="5"/>
  <c r="A13" i="5"/>
  <c r="A14" i="5"/>
  <c r="A15" i="5"/>
  <c r="A16" i="5"/>
  <c r="A17" i="5"/>
  <c r="A18" i="5"/>
  <c r="A19" i="5"/>
  <c r="A20" i="5"/>
  <c r="A21" i="5"/>
  <c r="A22" i="5"/>
  <c r="A23" i="5"/>
  <c r="A24" i="5"/>
  <c r="A25" i="5"/>
  <c r="A26" i="5"/>
  <c r="A27" i="5"/>
  <c r="A28" i="5"/>
  <c r="A29" i="5"/>
  <c r="A30" i="5"/>
  <c r="A31" i="5"/>
  <c r="A32" i="5"/>
  <c r="A33" i="5"/>
  <c r="A34" i="5"/>
  <c r="A35" i="5"/>
  <c r="A36" i="5"/>
  <c r="A37" i="5"/>
  <c r="A12" i="5"/>
  <c r="G2" i="5"/>
  <c r="A151" i="1"/>
  <c r="K5" i="1"/>
  <c r="G6" i="1"/>
  <c r="A131" i="1"/>
  <c r="G4" i="1"/>
  <c r="A118" i="1"/>
  <c r="A119" i="1"/>
  <c r="G2" i="1"/>
  <c r="A109" i="1"/>
  <c r="A98" i="1"/>
  <c r="A91" i="1"/>
  <c r="A88" i="1"/>
  <c r="A87" i="1"/>
  <c r="A70" i="1"/>
  <c r="A58" i="1"/>
  <c r="A46" i="1"/>
  <c r="A26" i="1"/>
  <c r="A10" i="1"/>
  <c r="A27" i="1"/>
  <c r="A11" i="1"/>
  <c r="G10" i="1"/>
  <c r="G11" i="1" s="1"/>
  <c r="G12" i="1" s="1"/>
  <c r="G13" i="1" s="1"/>
  <c r="G14" i="1" s="1"/>
  <c r="G15" i="1" s="1"/>
  <c r="G16" i="1" s="1"/>
  <c r="G17" i="1" s="1"/>
  <c r="G18" i="1" s="1"/>
  <c r="G19" i="1" s="1"/>
  <c r="G20" i="1" s="1"/>
  <c r="G21" i="1" s="1"/>
  <c r="A50" i="1"/>
  <c r="A51" i="1"/>
  <c r="A52" i="1"/>
  <c r="A53" i="1"/>
  <c r="A54" i="1"/>
  <c r="A55" i="1"/>
  <c r="A56" i="1"/>
  <c r="A57" i="1"/>
  <c r="A59" i="1"/>
  <c r="A60" i="1"/>
  <c r="A61" i="1"/>
  <c r="A62" i="1"/>
  <c r="A63" i="1"/>
  <c r="A64" i="1"/>
  <c r="A65" i="1"/>
  <c r="A66" i="1"/>
  <c r="A67" i="1"/>
  <c r="A68" i="1"/>
  <c r="A69" i="1"/>
  <c r="A71" i="1"/>
  <c r="A72" i="1"/>
  <c r="A73" i="1"/>
  <c r="A74" i="1"/>
  <c r="A75" i="1"/>
  <c r="A76" i="1"/>
  <c r="A77" i="1"/>
  <c r="A78" i="1"/>
  <c r="A79" i="1"/>
  <c r="A80" i="1"/>
  <c r="A81" i="1"/>
  <c r="A82" i="1"/>
  <c r="A83" i="1"/>
  <c r="A84" i="1"/>
  <c r="A85" i="1"/>
  <c r="A86" i="1"/>
  <c r="A89" i="1"/>
  <c r="A90" i="1"/>
  <c r="A92" i="1"/>
  <c r="A93" i="1"/>
  <c r="A94" i="1"/>
  <c r="A95" i="1"/>
  <c r="A96" i="1"/>
  <c r="A97" i="1"/>
  <c r="A99" i="1"/>
  <c r="A100" i="1"/>
  <c r="A101" i="1"/>
  <c r="A102" i="1"/>
  <c r="A103" i="1"/>
  <c r="A104" i="1"/>
  <c r="A105" i="1"/>
  <c r="A106" i="1"/>
  <c r="A107" i="1"/>
  <c r="A108" i="1"/>
  <c r="A110" i="1"/>
  <c r="A111" i="1"/>
  <c r="A112" i="1"/>
  <c r="A113" i="1"/>
  <c r="A114" i="1"/>
  <c r="A115" i="1"/>
  <c r="A116" i="1"/>
  <c r="A117" i="1"/>
  <c r="A120" i="1"/>
  <c r="A121" i="1"/>
  <c r="A122" i="1"/>
  <c r="A123" i="1"/>
  <c r="A124" i="1"/>
  <c r="A125" i="1"/>
  <c r="A126" i="1"/>
  <c r="A127" i="1"/>
  <c r="A128" i="1"/>
  <c r="A129" i="1"/>
  <c r="A130" i="1"/>
  <c r="A132" i="1"/>
  <c r="A133" i="1"/>
  <c r="A134" i="1"/>
  <c r="A135" i="1"/>
  <c r="A136" i="1"/>
  <c r="A137" i="1"/>
  <c r="A138" i="1"/>
  <c r="A139" i="1"/>
  <c r="A140" i="1"/>
  <c r="A141" i="1"/>
  <c r="A142" i="1"/>
  <c r="A143" i="1"/>
  <c r="A144" i="1"/>
  <c r="A145" i="1"/>
  <c r="A146" i="1"/>
  <c r="A147" i="1"/>
  <c r="A148" i="1"/>
  <c r="A149" i="1"/>
  <c r="A150"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12" i="1"/>
  <c r="A13" i="1"/>
  <c r="A14" i="1"/>
  <c r="A15" i="1"/>
  <c r="A16" i="1"/>
  <c r="A17" i="1"/>
  <c r="A18" i="1"/>
  <c r="A19" i="1"/>
  <c r="A20" i="1"/>
  <c r="A21" i="1"/>
  <c r="A22" i="1"/>
  <c r="A23" i="1"/>
  <c r="A24" i="1"/>
  <c r="A25" i="1"/>
  <c r="A28" i="1"/>
  <c r="A29" i="1"/>
  <c r="A30" i="1"/>
  <c r="A31" i="1"/>
  <c r="A32" i="1"/>
  <c r="A33" i="1"/>
  <c r="A34" i="1"/>
  <c r="A35" i="1"/>
  <c r="A36" i="1"/>
  <c r="A37" i="1"/>
  <c r="A38" i="1"/>
  <c r="A39" i="1"/>
  <c r="A40" i="1"/>
  <c r="A41" i="1"/>
  <c r="A42" i="1"/>
  <c r="A43" i="1"/>
  <c r="A44" i="1"/>
  <c r="A45" i="1"/>
  <c r="A47" i="1"/>
  <c r="A48" i="1"/>
  <c r="A49" i="1"/>
  <c r="G39" i="5" l="1"/>
  <c r="G40" i="5" s="1"/>
  <c r="G41" i="5" s="1"/>
  <c r="G42" i="5" s="1"/>
  <c r="G43" i="5" s="1"/>
  <c r="G44" i="5" s="1"/>
  <c r="G45" i="5" s="1"/>
  <c r="G46" i="5" s="1"/>
  <c r="G47" i="5" s="1"/>
  <c r="G48" i="5" s="1"/>
  <c r="G49" i="5" s="1"/>
  <c r="G50" i="5" s="1"/>
  <c r="G51" i="5" s="1"/>
  <c r="G52" i="5" s="1"/>
  <c r="G53" i="5" s="1"/>
  <c r="G54" i="5" s="1"/>
  <c r="G55" i="5" s="1"/>
  <c r="G56" i="5" s="1"/>
  <c r="G57" i="5" s="1"/>
  <c r="G58" i="5" s="1"/>
  <c r="G59" i="5" s="1"/>
  <c r="G60" i="5" s="1"/>
  <c r="G61" i="5" s="1"/>
  <c r="G62" i="5" s="1"/>
  <c r="G63" i="5" s="1"/>
  <c r="G64" i="5" s="1"/>
  <c r="G65" i="5" s="1"/>
  <c r="G66" i="5" s="1"/>
  <c r="G67" i="5" s="1"/>
  <c r="G68" i="5" s="1"/>
  <c r="G69" i="5" s="1"/>
  <c r="G70" i="5" s="1"/>
  <c r="G71" i="5" s="1"/>
  <c r="G38" i="5"/>
  <c r="G5" i="1"/>
  <c r="G22" i="1"/>
  <c r="G23" i="1" s="1"/>
  <c r="G24" i="1" s="1"/>
  <c r="G25" i="1" s="1"/>
  <c r="G27" i="1" s="1"/>
  <c r="G28" i="1" s="1"/>
  <c r="G29" i="1" s="1"/>
  <c r="G30" i="1" s="1"/>
  <c r="G31" i="1" s="1"/>
  <c r="G32" i="1" s="1"/>
  <c r="G33" i="1" s="1"/>
  <c r="G34" i="1" s="1"/>
  <c r="G35" i="1" s="1"/>
  <c r="G36" i="1" s="1"/>
  <c r="G37" i="1" s="1"/>
  <c r="G38" i="1" s="1"/>
  <c r="G39" i="1" s="1"/>
  <c r="G40" i="1" s="1"/>
  <c r="G41" i="1" s="1"/>
  <c r="G42" i="1" s="1"/>
  <c r="G43" i="1" s="1"/>
  <c r="G44" i="1" s="1"/>
  <c r="G45" i="1" s="1"/>
  <c r="G46" i="1" s="1"/>
  <c r="C4" i="1"/>
  <c r="C5" i="1"/>
  <c r="C6" i="1"/>
  <c r="G3" i="1"/>
  <c r="G73" i="5" l="1"/>
  <c r="G72" i="5"/>
  <c r="G75" i="5"/>
  <c r="G76" i="5" s="1"/>
  <c r="G77" i="5" s="1"/>
  <c r="G78" i="5" s="1"/>
  <c r="G79" i="5" s="1"/>
  <c r="G80" i="5" s="1"/>
  <c r="G81" i="5" s="1"/>
  <c r="G82" i="5" s="1"/>
  <c r="G83" i="5" s="1"/>
  <c r="G84" i="5" s="1"/>
  <c r="G85" i="5" s="1"/>
  <c r="G86" i="5" s="1"/>
  <c r="G87" i="5" s="1"/>
  <c r="G88" i="5" s="1"/>
  <c r="G89" i="5" s="1"/>
  <c r="G90" i="5" s="1"/>
  <c r="G91" i="5" s="1"/>
  <c r="G92" i="5" s="1"/>
  <c r="G93" i="5" s="1"/>
  <c r="G94" i="5" s="1"/>
  <c r="G95" i="5" s="1"/>
  <c r="G96" i="5" s="1"/>
  <c r="G97" i="5" s="1"/>
  <c r="G98" i="5" s="1"/>
  <c r="G99" i="5" s="1"/>
  <c r="G100" i="5" s="1"/>
  <c r="G101" i="5" s="1"/>
  <c r="G102" i="5" s="1"/>
  <c r="G103" i="5" s="1"/>
  <c r="G104" i="5" s="1"/>
  <c r="G105" i="5" s="1"/>
  <c r="G106" i="5" s="1"/>
  <c r="G107" i="5" s="1"/>
  <c r="G108" i="5" s="1"/>
  <c r="G109" i="5" s="1"/>
  <c r="G110" i="5" s="1"/>
  <c r="G111" i="5" s="1"/>
  <c r="G112" i="5" s="1"/>
  <c r="G113" i="5" s="1"/>
  <c r="G114" i="5" s="1"/>
  <c r="G115" i="5" s="1"/>
  <c r="G116" i="5" s="1"/>
  <c r="G117" i="5" s="1"/>
  <c r="G118" i="5" s="1"/>
  <c r="G119" i="5" s="1"/>
  <c r="G120" i="5" s="1"/>
  <c r="G121" i="5" s="1"/>
  <c r="G122" i="5" s="1"/>
  <c r="G123" i="5" s="1"/>
  <c r="G124" i="5" s="1"/>
  <c r="G125" i="5" s="1"/>
  <c r="G126" i="5" s="1"/>
  <c r="G127" i="5" s="1"/>
  <c r="G128" i="5" s="1"/>
  <c r="G129" i="5" s="1"/>
  <c r="G130" i="5" s="1"/>
  <c r="G131" i="5" s="1"/>
  <c r="G132" i="5" s="1"/>
  <c r="G133" i="5" s="1"/>
  <c r="G134" i="5" s="1"/>
  <c r="G135" i="5" s="1"/>
  <c r="G136" i="5" s="1"/>
  <c r="G137" i="5" s="1"/>
  <c r="G138" i="5" s="1"/>
  <c r="G139" i="5" s="1"/>
  <c r="G140" i="5" s="1"/>
  <c r="G141" i="5" s="1"/>
  <c r="G142" i="5" s="1"/>
  <c r="G143" i="5" s="1"/>
  <c r="G144" i="5" s="1"/>
  <c r="G145" i="5" s="1"/>
  <c r="G146" i="5" s="1"/>
  <c r="G147" i="5" s="1"/>
  <c r="G148" i="5" s="1"/>
  <c r="G149" i="5" s="1"/>
  <c r="G150" i="5" s="1"/>
  <c r="G151" i="5" s="1"/>
  <c r="G152" i="5" s="1"/>
  <c r="G153" i="5" s="1"/>
  <c r="G154" i="5" s="1"/>
  <c r="G155" i="5" s="1"/>
  <c r="G156" i="5" s="1"/>
  <c r="G157" i="5" s="1"/>
  <c r="G158" i="5" s="1"/>
  <c r="G159" i="5" s="1"/>
  <c r="G160" i="5" s="1"/>
  <c r="G74" i="5"/>
  <c r="E3" i="1"/>
  <c r="E4" i="1"/>
  <c r="G26" i="1"/>
  <c r="G47" i="1"/>
  <c r="G48" i="1" s="1"/>
  <c r="G49" i="1" s="1"/>
  <c r="G50" i="1" s="1"/>
  <c r="G51" i="1" s="1"/>
  <c r="G52" i="1" s="1"/>
  <c r="G53" i="1" s="1"/>
  <c r="G54" i="1" s="1"/>
  <c r="G55" i="1" s="1"/>
  <c r="G56" i="1" s="1"/>
  <c r="G57" i="1" s="1"/>
  <c r="G162" i="5" l="1"/>
  <c r="G163" i="5" s="1"/>
  <c r="G164" i="5" s="1"/>
  <c r="G165" i="5" s="1"/>
  <c r="G166" i="5" s="1"/>
  <c r="G167" i="5" s="1"/>
  <c r="G168" i="5" s="1"/>
  <c r="G169" i="5" s="1"/>
  <c r="G170" i="5" s="1"/>
  <c r="G171" i="5" s="1"/>
  <c r="G172" i="5" s="1"/>
  <c r="G173" i="5" s="1"/>
  <c r="G174" i="5" s="1"/>
  <c r="G175" i="5" s="1"/>
  <c r="G176" i="5" s="1"/>
  <c r="G177" i="5" s="1"/>
  <c r="G178" i="5" s="1"/>
  <c r="G179" i="5" s="1"/>
  <c r="G180" i="5" s="1"/>
  <c r="G181" i="5" s="1"/>
  <c r="G182" i="5" s="1"/>
  <c r="G183" i="5" s="1"/>
  <c r="G184" i="5" s="1"/>
  <c r="G185" i="5" s="1"/>
  <c r="G186" i="5" s="1"/>
  <c r="G187" i="5" s="1"/>
  <c r="G188" i="5" s="1"/>
  <c r="G189" i="5" s="1"/>
  <c r="G190" i="5" s="1"/>
  <c r="G191" i="5" s="1"/>
  <c r="G192" i="5" s="1"/>
  <c r="G193" i="5" s="1"/>
  <c r="G194" i="5" s="1"/>
  <c r="G195" i="5" s="1"/>
  <c r="G161" i="5"/>
  <c r="G59" i="1"/>
  <c r="G60" i="1" s="1"/>
  <c r="G61" i="1" s="1"/>
  <c r="G62" i="1" s="1"/>
  <c r="G63" i="1" s="1"/>
  <c r="G64" i="1" s="1"/>
  <c r="G65" i="1" s="1"/>
  <c r="G66" i="1" s="1"/>
  <c r="G67" i="1" s="1"/>
  <c r="G68" i="1" s="1"/>
  <c r="G69" i="1" s="1"/>
  <c r="G58" i="1"/>
  <c r="G197" i="5" l="1"/>
  <c r="G198" i="5" s="1"/>
  <c r="G199" i="5" s="1"/>
  <c r="G200" i="5" s="1"/>
  <c r="G201" i="5" s="1"/>
  <c r="G202" i="5" s="1"/>
  <c r="G203" i="5" s="1"/>
  <c r="G204" i="5" s="1"/>
  <c r="G205" i="5" s="1"/>
  <c r="G206" i="5" s="1"/>
  <c r="G207" i="5" s="1"/>
  <c r="G196" i="5"/>
  <c r="G71" i="1"/>
  <c r="G72" i="1" s="1"/>
  <c r="G73" i="1" s="1"/>
  <c r="G74" i="1" s="1"/>
  <c r="G75" i="1" s="1"/>
  <c r="G76" i="1" s="1"/>
  <c r="G77" i="1" s="1"/>
  <c r="G78" i="1" s="1"/>
  <c r="G79" i="1" s="1"/>
  <c r="G80" i="1" s="1"/>
  <c r="G81" i="1" s="1"/>
  <c r="G82" i="1" s="1"/>
  <c r="G83" i="1" s="1"/>
  <c r="G84" i="1" s="1"/>
  <c r="G85" i="1" s="1"/>
  <c r="G86" i="1" s="1"/>
  <c r="G70" i="1"/>
  <c r="G209" i="5" l="1"/>
  <c r="G210" i="5" s="1"/>
  <c r="G211" i="5" s="1"/>
  <c r="G212" i="5" s="1"/>
  <c r="G213" i="5" s="1"/>
  <c r="G214" i="5" s="1"/>
  <c r="G215" i="5" s="1"/>
  <c r="G216" i="5" s="1"/>
  <c r="G217" i="5" s="1"/>
  <c r="G218" i="5" s="1"/>
  <c r="G219" i="5" s="1"/>
  <c r="G220" i="5" s="1"/>
  <c r="G221" i="5" s="1"/>
  <c r="G222" i="5" s="1"/>
  <c r="G223" i="5" s="1"/>
  <c r="G224" i="5" s="1"/>
  <c r="G225" i="5" s="1"/>
  <c r="G226" i="5" s="1"/>
  <c r="G227" i="5" s="1"/>
  <c r="G228" i="5" s="1"/>
  <c r="G229" i="5" s="1"/>
  <c r="G230" i="5" s="1"/>
  <c r="G231" i="5" s="1"/>
  <c r="G232" i="5" s="1"/>
  <c r="G233" i="5" s="1"/>
  <c r="G234" i="5" s="1"/>
  <c r="G235" i="5" s="1"/>
  <c r="G236" i="5" s="1"/>
  <c r="G237" i="5" s="1"/>
  <c r="G208" i="5"/>
  <c r="G89" i="1"/>
  <c r="G87" i="1"/>
  <c r="G88" i="1" s="1"/>
  <c r="G239" i="5" l="1"/>
  <c r="G240" i="5" s="1"/>
  <c r="G241" i="5" s="1"/>
  <c r="G242" i="5" s="1"/>
  <c r="G243" i="5" s="1"/>
  <c r="G244" i="5" s="1"/>
  <c r="G245" i="5" s="1"/>
  <c r="G246" i="5" s="1"/>
  <c r="G247" i="5" s="1"/>
  <c r="G248" i="5" s="1"/>
  <c r="G249" i="5" s="1"/>
  <c r="G250" i="5" s="1"/>
  <c r="G251" i="5" s="1"/>
  <c r="G252" i="5" s="1"/>
  <c r="G253" i="5" s="1"/>
  <c r="G254" i="5" s="1"/>
  <c r="G255" i="5" s="1"/>
  <c r="G256" i="5" s="1"/>
  <c r="G257" i="5" s="1"/>
  <c r="G238" i="5"/>
  <c r="G90" i="1"/>
  <c r="G91" i="1" s="1"/>
  <c r="G92" i="1" s="1"/>
  <c r="G93" i="1" s="1"/>
  <c r="G94" i="1" s="1"/>
  <c r="G95" i="1" s="1"/>
  <c r="G96" i="1" s="1"/>
  <c r="G97" i="1" s="1"/>
  <c r="G259" i="5" l="1"/>
  <c r="G260" i="5" s="1"/>
  <c r="G261" i="5" s="1"/>
  <c r="G262" i="5" s="1"/>
  <c r="G263" i="5" s="1"/>
  <c r="G264" i="5" s="1"/>
  <c r="G265" i="5" s="1"/>
  <c r="G266" i="5" s="1"/>
  <c r="G267" i="5" s="1"/>
  <c r="G268" i="5" s="1"/>
  <c r="G269" i="5" s="1"/>
  <c r="G270" i="5" s="1"/>
  <c r="G271" i="5" s="1"/>
  <c r="G272" i="5" s="1"/>
  <c r="G273" i="5" s="1"/>
  <c r="G274" i="5" s="1"/>
  <c r="G275" i="5" s="1"/>
  <c r="G276" i="5" s="1"/>
  <c r="G277" i="5" s="1"/>
  <c r="G278" i="5" s="1"/>
  <c r="G279" i="5" s="1"/>
  <c r="G280" i="5" s="1"/>
  <c r="G281" i="5" s="1"/>
  <c r="G282" i="5" s="1"/>
  <c r="G283" i="5" s="1"/>
  <c r="G284" i="5" s="1"/>
  <c r="G285" i="5" s="1"/>
  <c r="G286" i="5" s="1"/>
  <c r="G287" i="5" s="1"/>
  <c r="G288" i="5" s="1"/>
  <c r="G289" i="5" s="1"/>
  <c r="G290" i="5" s="1"/>
  <c r="G291" i="5" s="1"/>
  <c r="G292" i="5" s="1"/>
  <c r="G293" i="5" s="1"/>
  <c r="G294" i="5" s="1"/>
  <c r="G295" i="5" s="1"/>
  <c r="G296" i="5" s="1"/>
  <c r="G297" i="5" s="1"/>
  <c r="G298" i="5" s="1"/>
  <c r="G299" i="5" s="1"/>
  <c r="G300" i="5" s="1"/>
  <c r="G301" i="5" s="1"/>
  <c r="G302" i="5" s="1"/>
  <c r="G303" i="5" s="1"/>
  <c r="G304" i="5" s="1"/>
  <c r="G305" i="5" s="1"/>
  <c r="G306" i="5" s="1"/>
  <c r="G307" i="5" s="1"/>
  <c r="G308" i="5" s="1"/>
  <c r="G309" i="5" s="1"/>
  <c r="G310" i="5" s="1"/>
  <c r="G311" i="5" s="1"/>
  <c r="G258" i="5"/>
  <c r="G99" i="1"/>
  <c r="G100" i="1" s="1"/>
  <c r="G101" i="1" s="1"/>
  <c r="G102" i="1" s="1"/>
  <c r="G103" i="1" s="1"/>
  <c r="G104" i="1" s="1"/>
  <c r="G105" i="1" s="1"/>
  <c r="G106" i="1" s="1"/>
  <c r="G107" i="1" s="1"/>
  <c r="G108" i="1" s="1"/>
  <c r="G98" i="1"/>
  <c r="G313" i="5" l="1"/>
  <c r="G314" i="5" s="1"/>
  <c r="G315" i="5" s="1"/>
  <c r="G316" i="5" s="1"/>
  <c r="G317" i="5" s="1"/>
  <c r="G318" i="5" s="1"/>
  <c r="G319" i="5" s="1"/>
  <c r="G320" i="5" s="1"/>
  <c r="G321" i="5" s="1"/>
  <c r="G322" i="5" s="1"/>
  <c r="G323" i="5" s="1"/>
  <c r="G324" i="5" s="1"/>
  <c r="G325" i="5" s="1"/>
  <c r="G326" i="5" s="1"/>
  <c r="G327" i="5" s="1"/>
  <c r="G328" i="5" s="1"/>
  <c r="G329" i="5" s="1"/>
  <c r="G330" i="5" s="1"/>
  <c r="G331" i="5" s="1"/>
  <c r="G332" i="5" s="1"/>
  <c r="G333" i="5" s="1"/>
  <c r="G334" i="5" s="1"/>
  <c r="G335" i="5" s="1"/>
  <c r="G336" i="5" s="1"/>
  <c r="G337" i="5" s="1"/>
  <c r="G338" i="5" s="1"/>
  <c r="G339" i="5" s="1"/>
  <c r="G340" i="5" s="1"/>
  <c r="G341" i="5" s="1"/>
  <c r="G342" i="5" s="1"/>
  <c r="G343" i="5" s="1"/>
  <c r="G344" i="5" s="1"/>
  <c r="G345" i="5" s="1"/>
  <c r="G346" i="5" s="1"/>
  <c r="G347" i="5" s="1"/>
  <c r="G348" i="5" s="1"/>
  <c r="G349" i="5" s="1"/>
  <c r="G350" i="5" s="1"/>
  <c r="G351" i="5" s="1"/>
  <c r="G352" i="5" s="1"/>
  <c r="G353" i="5" s="1"/>
  <c r="G354" i="5" s="1"/>
  <c r="G355" i="5" s="1"/>
  <c r="G356" i="5" s="1"/>
  <c r="G357" i="5" s="1"/>
  <c r="G358" i="5" s="1"/>
  <c r="G359" i="5" s="1"/>
  <c r="G360" i="5" s="1"/>
  <c r="G361" i="5" s="1"/>
  <c r="G362" i="5" s="1"/>
  <c r="G363" i="5" s="1"/>
  <c r="G364" i="5" s="1"/>
  <c r="G365" i="5" s="1"/>
  <c r="G366" i="5" s="1"/>
  <c r="G367" i="5" s="1"/>
  <c r="G368" i="5" s="1"/>
  <c r="G369" i="5" s="1"/>
  <c r="G370" i="5" s="1"/>
  <c r="G371" i="5" s="1"/>
  <c r="G372" i="5" s="1"/>
  <c r="G373" i="5" s="1"/>
  <c r="G374" i="5" s="1"/>
  <c r="G375" i="5" s="1"/>
  <c r="G376" i="5" s="1"/>
  <c r="G377" i="5" s="1"/>
  <c r="G312" i="5"/>
  <c r="G110" i="1"/>
  <c r="G111" i="1" s="1"/>
  <c r="G112" i="1" s="1"/>
  <c r="G113" i="1" s="1"/>
  <c r="G114" i="1" s="1"/>
  <c r="G115" i="1" s="1"/>
  <c r="G116" i="1" s="1"/>
  <c r="G117" i="1" s="1"/>
  <c r="G109" i="1"/>
  <c r="G379" i="5" l="1"/>
  <c r="G380" i="5" s="1"/>
  <c r="G381" i="5" s="1"/>
  <c r="G382" i="5" s="1"/>
  <c r="G383" i="5" s="1"/>
  <c r="G384" i="5" s="1"/>
  <c r="G385" i="5" s="1"/>
  <c r="G386" i="5" s="1"/>
  <c r="G387" i="5" s="1"/>
  <c r="G388" i="5" s="1"/>
  <c r="G389" i="5" s="1"/>
  <c r="G390" i="5" s="1"/>
  <c r="G391" i="5" s="1"/>
  <c r="G392" i="5" s="1"/>
  <c r="G393" i="5" s="1"/>
  <c r="G394" i="5" s="1"/>
  <c r="G395" i="5" s="1"/>
  <c r="G396" i="5" s="1"/>
  <c r="G397" i="5" s="1"/>
  <c r="G398" i="5" s="1"/>
  <c r="G399" i="5" s="1"/>
  <c r="G400" i="5" s="1"/>
  <c r="G401" i="5" s="1"/>
  <c r="G402" i="5" s="1"/>
  <c r="G403" i="5" s="1"/>
  <c r="G404" i="5" s="1"/>
  <c r="G378" i="5"/>
  <c r="G118" i="1"/>
  <c r="G119" i="1"/>
  <c r="G406" i="5" l="1"/>
  <c r="G407" i="5" s="1"/>
  <c r="G408" i="5" s="1"/>
  <c r="G409" i="5" s="1"/>
  <c r="G410" i="5" s="1"/>
  <c r="G411" i="5" s="1"/>
  <c r="G412" i="5" s="1"/>
  <c r="G413" i="5" s="1"/>
  <c r="G414" i="5" s="1"/>
  <c r="G415" i="5" s="1"/>
  <c r="G405" i="5"/>
  <c r="G120" i="1"/>
  <c r="G121" i="1" s="1"/>
  <c r="G122" i="1" s="1"/>
  <c r="G123" i="1" s="1"/>
  <c r="G124" i="1" s="1"/>
  <c r="G125" i="1" s="1"/>
  <c r="G126" i="1" s="1"/>
  <c r="G127" i="1" s="1"/>
  <c r="G128" i="1" s="1"/>
  <c r="G129" i="1" s="1"/>
  <c r="G130" i="1" s="1"/>
  <c r="G417" i="5" l="1"/>
  <c r="G418" i="5" s="1"/>
  <c r="G419" i="5" s="1"/>
  <c r="G420" i="5" s="1"/>
  <c r="G421" i="5" s="1"/>
  <c r="G416" i="5"/>
  <c r="G132" i="1"/>
  <c r="G133" i="1" s="1"/>
  <c r="G134" i="1" s="1"/>
  <c r="G135" i="1" s="1"/>
  <c r="G136" i="1" s="1"/>
  <c r="G137" i="1" s="1"/>
  <c r="G138" i="1" s="1"/>
  <c r="G139" i="1" s="1"/>
  <c r="G140" i="1" s="1"/>
  <c r="G141" i="1" s="1"/>
  <c r="G142" i="1" s="1"/>
  <c r="G143" i="1" s="1"/>
  <c r="G144" i="1" s="1"/>
  <c r="G145" i="1" s="1"/>
  <c r="G146" i="1" s="1"/>
  <c r="G147" i="1" s="1"/>
  <c r="G148" i="1" s="1"/>
  <c r="G149" i="1" s="1"/>
  <c r="G150" i="1" s="1"/>
  <c r="G131" i="1"/>
  <c r="G426" i="5" l="1"/>
  <c r="G427" i="5" s="1"/>
  <c r="G422" i="5"/>
  <c r="G423" i="5" s="1"/>
  <c r="G152" i="1"/>
  <c r="G153" i="1" s="1"/>
  <c r="G154" i="1" s="1"/>
  <c r="G155" i="1" s="1"/>
  <c r="G156" i="1" s="1"/>
  <c r="G157" i="1" s="1"/>
  <c r="G158" i="1" s="1"/>
  <c r="G159" i="1" s="1"/>
  <c r="G160" i="1" s="1"/>
  <c r="G161" i="1" s="1"/>
  <c r="G162" i="1" s="1"/>
  <c r="G163" i="1" s="1"/>
  <c r="G164" i="1" s="1"/>
  <c r="G165" i="1" s="1"/>
  <c r="G166" i="1" s="1"/>
  <c r="G167" i="1" s="1"/>
  <c r="G168" i="1" s="1"/>
  <c r="G169" i="1" s="1"/>
  <c r="G170" i="1" s="1"/>
  <c r="G171" i="1" s="1"/>
  <c r="G172" i="1" s="1"/>
  <c r="G173" i="1" s="1"/>
  <c r="G174" i="1" s="1"/>
  <c r="G175" i="1" s="1"/>
  <c r="G176" i="1" s="1"/>
  <c r="G177" i="1" s="1"/>
  <c r="G178" i="1" s="1"/>
  <c r="G179" i="1" s="1"/>
  <c r="G180" i="1" s="1"/>
  <c r="G181" i="1" s="1"/>
  <c r="G182" i="1" s="1"/>
  <c r="G183" i="1" s="1"/>
  <c r="G184" i="1" s="1"/>
  <c r="G185" i="1" s="1"/>
  <c r="G186" i="1" s="1"/>
  <c r="G187" i="1" s="1"/>
  <c r="G188" i="1" s="1"/>
  <c r="G189" i="1" s="1"/>
  <c r="G190" i="1" s="1"/>
  <c r="G191" i="1" s="1"/>
  <c r="G192" i="1" s="1"/>
  <c r="G193" i="1" s="1"/>
  <c r="G194" i="1" s="1"/>
  <c r="G195" i="1" s="1"/>
  <c r="G196" i="1" s="1"/>
  <c r="G197" i="1" s="1"/>
  <c r="G198" i="1" s="1"/>
  <c r="G199" i="1" s="1"/>
  <c r="G200" i="1" s="1"/>
  <c r="G201" i="1" s="1"/>
  <c r="G202" i="1" s="1"/>
  <c r="G203" i="1" s="1"/>
  <c r="G204" i="1" s="1"/>
  <c r="G205" i="1" s="1"/>
  <c r="G206" i="1" s="1"/>
  <c r="G207" i="1" s="1"/>
  <c r="G208" i="1" s="1"/>
  <c r="G209" i="1" s="1"/>
  <c r="G210" i="1" s="1"/>
  <c r="G211" i="1" s="1"/>
  <c r="G212" i="1" s="1"/>
  <c r="G213" i="1" s="1"/>
  <c r="G214" i="1" s="1"/>
  <c r="G215" i="1" s="1"/>
  <c r="G216" i="1" s="1"/>
  <c r="G217" i="1" s="1"/>
  <c r="G218" i="1" s="1"/>
  <c r="G219" i="1" s="1"/>
  <c r="G220" i="1" s="1"/>
  <c r="G221" i="1" s="1"/>
  <c r="G222" i="1" s="1"/>
  <c r="G223" i="1" s="1"/>
  <c r="G224" i="1" s="1"/>
  <c r="G225" i="1" s="1"/>
  <c r="G226" i="1" s="1"/>
  <c r="G227" i="1" s="1"/>
  <c r="G228" i="1" s="1"/>
  <c r="G229" i="1" s="1"/>
  <c r="G230" i="1" s="1"/>
  <c r="G231" i="1" s="1"/>
  <c r="G232" i="1" s="1"/>
  <c r="G233" i="1" s="1"/>
  <c r="G234" i="1" s="1"/>
  <c r="G235" i="1" s="1"/>
  <c r="G236" i="1" s="1"/>
  <c r="G237" i="1" s="1"/>
  <c r="G238" i="1" s="1"/>
  <c r="G239" i="1" s="1"/>
  <c r="G240" i="1" s="1"/>
  <c r="G241" i="1" s="1"/>
  <c r="G242" i="1" s="1"/>
  <c r="G243" i="1" s="1"/>
  <c r="G244" i="1" s="1"/>
  <c r="G245" i="1" s="1"/>
  <c r="G246" i="1" s="1"/>
  <c r="G247" i="1" s="1"/>
  <c r="G248" i="1" s="1"/>
  <c r="G249" i="1" s="1"/>
  <c r="G250" i="1" s="1"/>
  <c r="G251" i="1" s="1"/>
  <c r="G252" i="1" s="1"/>
  <c r="G253" i="1" s="1"/>
  <c r="G254" i="1" s="1"/>
  <c r="G255" i="1" s="1"/>
  <c r="G256" i="1" s="1"/>
  <c r="G257" i="1" s="1"/>
  <c r="G258" i="1" s="1"/>
  <c r="G259" i="1" s="1"/>
  <c r="G260" i="1" s="1"/>
  <c r="G261" i="1" s="1"/>
  <c r="G262" i="1" s="1"/>
  <c r="G263" i="1" s="1"/>
  <c r="G264" i="1" s="1"/>
  <c r="G265" i="1" s="1"/>
  <c r="G266" i="1" s="1"/>
  <c r="G267" i="1" s="1"/>
  <c r="G268" i="1" s="1"/>
  <c r="G269" i="1" s="1"/>
  <c r="G270" i="1" s="1"/>
  <c r="G271" i="1" s="1"/>
  <c r="G272" i="1" s="1"/>
  <c r="G273" i="1" s="1"/>
  <c r="G274" i="1" s="1"/>
  <c r="G275" i="1" s="1"/>
  <c r="G276" i="1" s="1"/>
  <c r="G277" i="1" s="1"/>
  <c r="G278" i="1" s="1"/>
  <c r="G279" i="1" s="1"/>
  <c r="G280" i="1" s="1"/>
  <c r="G281" i="1" s="1"/>
  <c r="G282" i="1" s="1"/>
  <c r="G283" i="1" s="1"/>
  <c r="G284" i="1" s="1"/>
  <c r="G285" i="1" s="1"/>
  <c r="G286" i="1" s="1"/>
  <c r="G287" i="1" s="1"/>
  <c r="G288" i="1" s="1"/>
  <c r="G289" i="1" s="1"/>
  <c r="G290" i="1" s="1"/>
  <c r="G291" i="1" s="1"/>
  <c r="G292" i="1" s="1"/>
  <c r="G293" i="1" s="1"/>
  <c r="G294" i="1" s="1"/>
  <c r="G295" i="1" s="1"/>
  <c r="G296" i="1" s="1"/>
  <c r="G297" i="1" s="1"/>
  <c r="G298" i="1" s="1"/>
  <c r="G299" i="1" s="1"/>
  <c r="G300" i="1" s="1"/>
  <c r="G301" i="1" s="1"/>
  <c r="G302" i="1" s="1"/>
  <c r="G303" i="1" s="1"/>
  <c r="G304" i="1" s="1"/>
  <c r="G305" i="1" s="1"/>
  <c r="G306" i="1" s="1"/>
  <c r="G307" i="1" s="1"/>
  <c r="G308" i="1" s="1"/>
  <c r="G309" i="1" s="1"/>
  <c r="G310" i="1" s="1"/>
  <c r="G311" i="1" s="1"/>
  <c r="G312" i="1" s="1"/>
  <c r="G313" i="1" s="1"/>
  <c r="G314" i="1" s="1"/>
  <c r="G315" i="1" s="1"/>
  <c r="G316" i="1" s="1"/>
  <c r="G317" i="1" s="1"/>
  <c r="G318" i="1" s="1"/>
  <c r="G319" i="1" s="1"/>
  <c r="G320" i="1" s="1"/>
  <c r="G321" i="1" s="1"/>
  <c r="G322" i="1" s="1"/>
  <c r="G323" i="1" s="1"/>
  <c r="G324" i="1" s="1"/>
  <c r="G325" i="1" s="1"/>
  <c r="G326" i="1" s="1"/>
  <c r="G327" i="1" s="1"/>
  <c r="G328" i="1" s="1"/>
  <c r="G329" i="1" s="1"/>
  <c r="G330" i="1" s="1"/>
  <c r="G331" i="1" s="1"/>
  <c r="G332" i="1" s="1"/>
  <c r="G333" i="1" s="1"/>
  <c r="G334" i="1" s="1"/>
  <c r="G335" i="1" s="1"/>
  <c r="G336" i="1" s="1"/>
  <c r="G337" i="1" s="1"/>
  <c r="G338" i="1" s="1"/>
  <c r="G339" i="1" s="1"/>
  <c r="G340" i="1" s="1"/>
  <c r="G341" i="1" s="1"/>
  <c r="G342" i="1" s="1"/>
  <c r="G343" i="1" s="1"/>
  <c r="G344" i="1" s="1"/>
  <c r="G345" i="1" s="1"/>
  <c r="G346" i="1" s="1"/>
  <c r="G347" i="1" s="1"/>
  <c r="G348" i="1" s="1"/>
  <c r="G349" i="1" s="1"/>
  <c r="G350" i="1" s="1"/>
  <c r="G351" i="1" s="1"/>
  <c r="G352" i="1" s="1"/>
  <c r="G353" i="1" s="1"/>
  <c r="G354" i="1" s="1"/>
  <c r="G355" i="1" s="1"/>
  <c r="G356" i="1" s="1"/>
  <c r="G357" i="1" s="1"/>
  <c r="G358" i="1" s="1"/>
  <c r="G359" i="1" s="1"/>
  <c r="G360" i="1" s="1"/>
  <c r="G361" i="1" s="1"/>
  <c r="G362" i="1" s="1"/>
  <c r="G363" i="1" s="1"/>
  <c r="G364" i="1" s="1"/>
  <c r="G365" i="1" s="1"/>
  <c r="G366" i="1" s="1"/>
  <c r="G367" i="1" s="1"/>
  <c r="G368" i="1" s="1"/>
  <c r="G369" i="1" s="1"/>
  <c r="G370" i="1" s="1"/>
  <c r="G371" i="1" s="1"/>
  <c r="G372" i="1" s="1"/>
  <c r="G373" i="1" s="1"/>
  <c r="G374" i="1" s="1"/>
  <c r="G375" i="1" s="1"/>
  <c r="G376" i="1" s="1"/>
  <c r="G377" i="1" s="1"/>
  <c r="G378" i="1" s="1"/>
  <c r="G379" i="1" s="1"/>
  <c r="G380" i="1" s="1"/>
  <c r="G381" i="1" s="1"/>
  <c r="G382" i="1" s="1"/>
  <c r="G383" i="1" s="1"/>
  <c r="G384" i="1" s="1"/>
  <c r="G385" i="1" s="1"/>
  <c r="G386" i="1" s="1"/>
  <c r="G387" i="1" s="1"/>
  <c r="G388" i="1" s="1"/>
  <c r="G389" i="1" s="1"/>
  <c r="G390" i="1" s="1"/>
  <c r="G391" i="1" s="1"/>
  <c r="G392" i="1" s="1"/>
  <c r="G393" i="1" s="1"/>
  <c r="G394" i="1" s="1"/>
  <c r="G395" i="1" s="1"/>
  <c r="G396" i="1" s="1"/>
  <c r="G397" i="1" s="1"/>
  <c r="G398" i="1" s="1"/>
  <c r="G399" i="1" s="1"/>
  <c r="G400" i="1" s="1"/>
  <c r="G401" i="1" s="1"/>
  <c r="G402" i="1" s="1"/>
  <c r="G403" i="1" s="1"/>
  <c r="G404" i="1" s="1"/>
  <c r="G405" i="1" s="1"/>
  <c r="G406" i="1" s="1"/>
  <c r="G407" i="1" s="1"/>
  <c r="G408" i="1" s="1"/>
  <c r="G409" i="1" s="1"/>
  <c r="G410" i="1" s="1"/>
  <c r="G411" i="1" s="1"/>
  <c r="G412" i="1" s="1"/>
  <c r="G413" i="1" s="1"/>
  <c r="G414" i="1" s="1"/>
  <c r="G415" i="1" s="1"/>
  <c r="G416" i="1" s="1"/>
  <c r="G417" i="1" s="1"/>
  <c r="G418" i="1" s="1"/>
  <c r="G419" i="1" s="1"/>
  <c r="G420" i="1" s="1"/>
  <c r="G421" i="1" s="1"/>
  <c r="G422" i="1" s="1"/>
  <c r="G423" i="1" s="1"/>
  <c r="G424" i="1" s="1"/>
  <c r="G425" i="1" s="1"/>
  <c r="G426" i="1" s="1"/>
  <c r="G427" i="1" s="1"/>
  <c r="G428" i="1" s="1"/>
  <c r="G429" i="1" s="1"/>
  <c r="G430" i="1" s="1"/>
  <c r="G431" i="1" s="1"/>
  <c r="G432" i="1" s="1"/>
  <c r="G433" i="1" s="1"/>
  <c r="G434" i="1" s="1"/>
  <c r="G435" i="1" s="1"/>
  <c r="G436" i="1" s="1"/>
  <c r="G437" i="1" s="1"/>
  <c r="G438" i="1" s="1"/>
  <c r="G439" i="1" s="1"/>
  <c r="G440" i="1" s="1"/>
  <c r="G441" i="1" s="1"/>
  <c r="G442" i="1" s="1"/>
  <c r="G443" i="1" s="1"/>
  <c r="G444" i="1" s="1"/>
  <c r="G445" i="1" s="1"/>
  <c r="G446" i="1" s="1"/>
  <c r="G447" i="1" s="1"/>
  <c r="G448" i="1" s="1"/>
  <c r="G449" i="1" s="1"/>
  <c r="G450" i="1" s="1"/>
  <c r="G451" i="1" s="1"/>
  <c r="G452" i="1" s="1"/>
  <c r="G453" i="1" s="1"/>
  <c r="G454" i="1" s="1"/>
  <c r="G455" i="1" s="1"/>
  <c r="G456" i="1" s="1"/>
  <c r="G457" i="1" s="1"/>
  <c r="G458" i="1" s="1"/>
  <c r="G459" i="1" s="1"/>
  <c r="G460" i="1" s="1"/>
  <c r="G461" i="1" s="1"/>
  <c r="G462" i="1" s="1"/>
  <c r="G463" i="1" s="1"/>
  <c r="G464" i="1" s="1"/>
  <c r="G465" i="1" s="1"/>
  <c r="G466" i="1" s="1"/>
  <c r="G467" i="1" s="1"/>
  <c r="G468" i="1" s="1"/>
  <c r="G469" i="1" s="1"/>
  <c r="G470" i="1" s="1"/>
  <c r="G471" i="1" s="1"/>
  <c r="G472" i="1" s="1"/>
  <c r="G473" i="1" s="1"/>
  <c r="G474" i="1" s="1"/>
  <c r="G475" i="1" s="1"/>
  <c r="G476" i="1" s="1"/>
  <c r="G477" i="1" s="1"/>
  <c r="G478" i="1" s="1"/>
  <c r="G479" i="1" s="1"/>
  <c r="G480" i="1" s="1"/>
  <c r="G481" i="1" s="1"/>
  <c r="G482" i="1" s="1"/>
  <c r="G483" i="1" s="1"/>
  <c r="G484" i="1" s="1"/>
  <c r="G485" i="1" s="1"/>
  <c r="G486" i="1" s="1"/>
  <c r="G487" i="1" s="1"/>
  <c r="G488" i="1" s="1"/>
  <c r="G489" i="1" s="1"/>
  <c r="G490" i="1" s="1"/>
  <c r="G491" i="1" s="1"/>
  <c r="G492" i="1" s="1"/>
  <c r="G493" i="1" s="1"/>
  <c r="G494" i="1" s="1"/>
  <c r="G495" i="1" s="1"/>
  <c r="G496" i="1" s="1"/>
  <c r="G497" i="1" s="1"/>
  <c r="G498" i="1" s="1"/>
  <c r="G499" i="1" s="1"/>
  <c r="G500" i="1" s="1"/>
  <c r="G501" i="1" s="1"/>
  <c r="G502" i="1" s="1"/>
  <c r="G503" i="1" s="1"/>
  <c r="G504" i="1" s="1"/>
  <c r="G505" i="1" s="1"/>
  <c r="G506" i="1" s="1"/>
  <c r="G507" i="1" s="1"/>
  <c r="G508" i="1" s="1"/>
  <c r="G509" i="1" s="1"/>
  <c r="G510" i="1" s="1"/>
  <c r="G511" i="1" s="1"/>
  <c r="G512" i="1" s="1"/>
  <c r="G513" i="1" s="1"/>
  <c r="G514" i="1" s="1"/>
  <c r="G515" i="1" s="1"/>
  <c r="G516" i="1" s="1"/>
  <c r="G517" i="1" s="1"/>
  <c r="G518" i="1" s="1"/>
  <c r="G519" i="1" s="1"/>
  <c r="G520" i="1" s="1"/>
  <c r="G521" i="1" s="1"/>
  <c r="G522" i="1" s="1"/>
  <c r="G523" i="1" s="1"/>
  <c r="G524" i="1" s="1"/>
  <c r="G525" i="1" s="1"/>
  <c r="G526" i="1" s="1"/>
  <c r="G527" i="1" s="1"/>
  <c r="G528" i="1" s="1"/>
  <c r="G529" i="1" s="1"/>
  <c r="G530" i="1" s="1"/>
  <c r="G531" i="1" s="1"/>
  <c r="G532" i="1" s="1"/>
  <c r="G533" i="1" s="1"/>
  <c r="G534" i="1" s="1"/>
  <c r="G535" i="1" s="1"/>
  <c r="G536" i="1" s="1"/>
  <c r="G537" i="1" s="1"/>
  <c r="G538" i="1" s="1"/>
  <c r="G539" i="1" s="1"/>
  <c r="G540" i="1" s="1"/>
  <c r="G541" i="1" s="1"/>
  <c r="G542" i="1" s="1"/>
  <c r="G543" i="1" s="1"/>
  <c r="G544" i="1" s="1"/>
  <c r="G545" i="1" s="1"/>
  <c r="G546" i="1" s="1"/>
  <c r="G547" i="1" s="1"/>
  <c r="G548" i="1" s="1"/>
  <c r="G549" i="1" s="1"/>
  <c r="G550" i="1" s="1"/>
  <c r="G551" i="1" s="1"/>
  <c r="G552" i="1" s="1"/>
  <c r="G553" i="1" s="1"/>
  <c r="G554" i="1" s="1"/>
  <c r="G555" i="1" s="1"/>
  <c r="G556" i="1" s="1"/>
  <c r="G557" i="1" s="1"/>
  <c r="G558" i="1" s="1"/>
  <c r="G559" i="1" s="1"/>
  <c r="G560" i="1" s="1"/>
  <c r="G561" i="1" s="1"/>
  <c r="G562" i="1" s="1"/>
  <c r="G563" i="1" s="1"/>
  <c r="G564" i="1" s="1"/>
  <c r="G565" i="1" s="1"/>
  <c r="G566" i="1" s="1"/>
  <c r="G567" i="1" s="1"/>
  <c r="G568" i="1" s="1"/>
  <c r="G569" i="1" s="1"/>
  <c r="G570" i="1" s="1"/>
  <c r="G571" i="1" s="1"/>
  <c r="G572" i="1" s="1"/>
  <c r="G573" i="1" s="1"/>
  <c r="G574" i="1" s="1"/>
  <c r="G575" i="1" s="1"/>
  <c r="G576" i="1" s="1"/>
  <c r="G577" i="1" s="1"/>
  <c r="G578" i="1" s="1"/>
  <c r="G579" i="1" s="1"/>
  <c r="G580" i="1" s="1"/>
  <c r="G581" i="1" s="1"/>
  <c r="G582" i="1" s="1"/>
  <c r="G583" i="1" s="1"/>
  <c r="G584" i="1" s="1"/>
  <c r="G585" i="1" s="1"/>
  <c r="G586" i="1" s="1"/>
  <c r="G587" i="1" s="1"/>
  <c r="G588" i="1" s="1"/>
  <c r="G589" i="1" s="1"/>
  <c r="G590" i="1" s="1"/>
  <c r="G591" i="1" s="1"/>
  <c r="G592" i="1" s="1"/>
  <c r="G593" i="1" s="1"/>
  <c r="G594" i="1" s="1"/>
  <c r="G595" i="1" s="1"/>
  <c r="G596" i="1" s="1"/>
  <c r="G597" i="1" s="1"/>
  <c r="G598" i="1" s="1"/>
  <c r="G599" i="1" s="1"/>
  <c r="G600" i="1" s="1"/>
  <c r="G601" i="1" s="1"/>
  <c r="G602" i="1" s="1"/>
  <c r="G603" i="1" s="1"/>
  <c r="G604" i="1" s="1"/>
  <c r="G605" i="1" s="1"/>
  <c r="G606" i="1" s="1"/>
  <c r="G607" i="1" s="1"/>
  <c r="G608" i="1" s="1"/>
  <c r="G609" i="1" s="1"/>
  <c r="G610" i="1" s="1"/>
  <c r="G611" i="1" s="1"/>
  <c r="G612" i="1" s="1"/>
  <c r="G613" i="1" s="1"/>
  <c r="G614" i="1" s="1"/>
  <c r="G615" i="1" s="1"/>
  <c r="G616" i="1" s="1"/>
  <c r="G617" i="1" s="1"/>
  <c r="G618" i="1" s="1"/>
  <c r="G619" i="1" s="1"/>
  <c r="G620" i="1" s="1"/>
  <c r="G621" i="1" s="1"/>
  <c r="G622" i="1" s="1"/>
  <c r="G623" i="1" s="1"/>
  <c r="G624" i="1" s="1"/>
  <c r="G625" i="1" s="1"/>
  <c r="G626" i="1" s="1"/>
  <c r="G627" i="1" s="1"/>
  <c r="G628" i="1" s="1"/>
  <c r="G629" i="1" s="1"/>
  <c r="G630" i="1" s="1"/>
  <c r="G631" i="1" s="1"/>
  <c r="G632" i="1" s="1"/>
  <c r="G633" i="1" s="1"/>
  <c r="G634" i="1" s="1"/>
  <c r="G635" i="1" s="1"/>
  <c r="G636" i="1" s="1"/>
  <c r="G637" i="1" s="1"/>
  <c r="G638" i="1" s="1"/>
  <c r="G639" i="1" s="1"/>
  <c r="G640" i="1" s="1"/>
  <c r="G641" i="1" s="1"/>
  <c r="G642" i="1" s="1"/>
  <c r="G643" i="1" s="1"/>
  <c r="G644" i="1" s="1"/>
  <c r="G645" i="1" s="1"/>
  <c r="G646" i="1" s="1"/>
  <c r="G647" i="1" s="1"/>
  <c r="G648" i="1" s="1"/>
  <c r="G649" i="1" s="1"/>
  <c r="G650" i="1" s="1"/>
  <c r="G651" i="1" s="1"/>
  <c r="G652" i="1" s="1"/>
  <c r="G653" i="1" s="1"/>
  <c r="G654" i="1" s="1"/>
  <c r="G655" i="1" s="1"/>
  <c r="G656" i="1" s="1"/>
  <c r="G657" i="1" s="1"/>
  <c r="G658" i="1" s="1"/>
  <c r="G659" i="1" s="1"/>
  <c r="G660" i="1" s="1"/>
  <c r="G661" i="1" s="1"/>
  <c r="G662" i="1" s="1"/>
  <c r="G663" i="1" s="1"/>
  <c r="G664" i="1" s="1"/>
  <c r="G665" i="1" s="1"/>
  <c r="G666" i="1" s="1"/>
  <c r="G667" i="1" s="1"/>
  <c r="G668" i="1" s="1"/>
  <c r="G669" i="1" s="1"/>
  <c r="G670" i="1" s="1"/>
  <c r="G671" i="1" s="1"/>
  <c r="G672" i="1" s="1"/>
  <c r="G673" i="1" s="1"/>
  <c r="G674" i="1" s="1"/>
  <c r="G675" i="1" s="1"/>
  <c r="G676" i="1" s="1"/>
  <c r="G677" i="1" s="1"/>
  <c r="G678" i="1" s="1"/>
  <c r="G679" i="1" s="1"/>
  <c r="G680" i="1" s="1"/>
  <c r="G681" i="1" s="1"/>
  <c r="G682" i="1" s="1"/>
  <c r="G683" i="1" s="1"/>
  <c r="G684" i="1" s="1"/>
  <c r="G685" i="1" s="1"/>
  <c r="G686" i="1" s="1"/>
  <c r="G151" i="1"/>
  <c r="A329" i="5"/>
  <c r="A331" i="5"/>
  <c r="A332" i="5"/>
  <c r="A328" i="5"/>
  <c r="A330" i="5"/>
  <c r="A327" i="5"/>
  <c r="C4" i="5" l="1"/>
  <c r="G3" i="5"/>
  <c r="C3" i="5"/>
  <c r="G428" i="5"/>
  <c r="G429" i="5" s="1"/>
  <c r="G430" i="5" s="1"/>
  <c r="G431" i="5" s="1"/>
  <c r="G432" i="5" s="1"/>
  <c r="G433" i="5" s="1"/>
  <c r="G434" i="5" s="1"/>
  <c r="G435" i="5" s="1"/>
  <c r="G436" i="5" s="1"/>
  <c r="G437" i="5" s="1"/>
  <c r="G438" i="5" s="1"/>
  <c r="G439" i="5" s="1"/>
  <c r="G440" i="5" s="1"/>
  <c r="G441" i="5" s="1"/>
  <c r="G442" i="5" s="1"/>
  <c r="G443" i="5" s="1"/>
  <c r="G444" i="5" s="1"/>
  <c r="G445" i="5" s="1"/>
  <c r="G446" i="5" s="1"/>
  <c r="G447" i="5" s="1"/>
  <c r="G448" i="5" s="1"/>
  <c r="G449" i="5" s="1"/>
  <c r="G450" i="5" s="1"/>
  <c r="G451" i="5" s="1"/>
  <c r="G452" i="5" s="1"/>
  <c r="G453" i="5" s="1"/>
  <c r="G454" i="5" s="1"/>
  <c r="G455" i="5" s="1"/>
  <c r="G456" i="5" s="1"/>
  <c r="G457" i="5" s="1"/>
  <c r="G458" i="5" s="1"/>
  <c r="G459" i="5" s="1"/>
  <c r="G460" i="5" s="1"/>
  <c r="G461" i="5" s="1"/>
  <c r="G462" i="5" s="1"/>
  <c r="G463" i="5" s="1"/>
  <c r="G464" i="5" s="1"/>
  <c r="G465" i="5" s="1"/>
  <c r="G466" i="5" s="1"/>
  <c r="G467" i="5" s="1"/>
  <c r="G468" i="5" s="1"/>
  <c r="G469" i="5" s="1"/>
  <c r="G470" i="5" s="1"/>
  <c r="G471" i="5" s="1"/>
  <c r="G472" i="5" s="1"/>
  <c r="G473" i="5" s="1"/>
  <c r="G474" i="5" s="1"/>
  <c r="G475" i="5" s="1"/>
  <c r="G476" i="5" s="1"/>
  <c r="G477" i="5" s="1"/>
  <c r="G478" i="5" s="1"/>
  <c r="G479" i="5" s="1"/>
  <c r="G480" i="5" s="1"/>
  <c r="G481" i="5" s="1"/>
  <c r="G482" i="5" s="1"/>
  <c r="G483" i="5" s="1"/>
  <c r="G484" i="5" s="1"/>
  <c r="G485" i="5" s="1"/>
  <c r="G486" i="5" s="1"/>
  <c r="G487" i="5" s="1"/>
  <c r="G488" i="5" s="1"/>
  <c r="G489" i="5" s="1"/>
  <c r="G490" i="5" s="1"/>
  <c r="G491" i="5" s="1"/>
  <c r="G492" i="5" s="1"/>
  <c r="G493" i="5" s="1"/>
  <c r="G494" i="5" s="1"/>
  <c r="G495" i="5" s="1"/>
  <c r="G496" i="5" s="1"/>
  <c r="G497" i="5" s="1"/>
  <c r="G498" i="5" s="1"/>
  <c r="G499" i="5" s="1"/>
  <c r="G500" i="5" s="1"/>
  <c r="G501" i="5" s="1"/>
  <c r="G502" i="5" s="1"/>
  <c r="G503" i="5" s="1"/>
  <c r="G504" i="5" s="1"/>
  <c r="G505" i="5" s="1"/>
  <c r="G506" i="5" s="1"/>
  <c r="G507" i="5" s="1"/>
  <c r="G508" i="5" s="1"/>
  <c r="G509" i="5" s="1"/>
  <c r="G510" i="5" s="1"/>
  <c r="G511" i="5" s="1"/>
  <c r="G512" i="5" s="1"/>
  <c r="G513" i="5" s="1"/>
  <c r="G514" i="5" s="1"/>
  <c r="G515" i="5" s="1"/>
  <c r="G516" i="5" s="1"/>
  <c r="G517" i="5" s="1"/>
  <c r="G518" i="5" s="1"/>
  <c r="G519" i="5" s="1"/>
  <c r="G520" i="5" s="1"/>
  <c r="G521" i="5" s="1"/>
  <c r="G522" i="5" s="1"/>
  <c r="G523" i="5" s="1"/>
  <c r="G524" i="5" s="1"/>
  <c r="G525" i="5" s="1"/>
  <c r="G526" i="5" s="1"/>
  <c r="G527" i="5" s="1"/>
  <c r="G528" i="5" s="1"/>
  <c r="G529" i="5" s="1"/>
  <c r="G530" i="5" s="1"/>
  <c r="G531" i="5" s="1"/>
  <c r="G532" i="5" s="1"/>
  <c r="G533" i="5" s="1"/>
  <c r="G534" i="5" s="1"/>
  <c r="G535" i="5" s="1"/>
  <c r="G536" i="5" s="1"/>
  <c r="G537" i="5" s="1"/>
  <c r="G538" i="5" s="1"/>
  <c r="G539" i="5" s="1"/>
  <c r="G540" i="5" s="1"/>
  <c r="G541" i="5" s="1"/>
  <c r="G542" i="5" s="1"/>
  <c r="G543" i="5" s="1"/>
  <c r="G544" i="5" s="1"/>
  <c r="G545" i="5" s="1"/>
  <c r="G546" i="5" s="1"/>
  <c r="G547" i="5" s="1"/>
  <c r="G548" i="5" s="1"/>
  <c r="G549" i="5" s="1"/>
  <c r="G550" i="5" s="1"/>
  <c r="G551" i="5" s="1"/>
  <c r="G552" i="5" s="1"/>
  <c r="G553" i="5" s="1"/>
  <c r="G554" i="5" s="1"/>
  <c r="G555" i="5" s="1"/>
  <c r="G556" i="5" s="1"/>
  <c r="G557" i="5" s="1"/>
  <c r="G558" i="5" s="1"/>
  <c r="G559" i="5" s="1"/>
  <c r="G560" i="5" s="1"/>
  <c r="G561" i="5" s="1"/>
  <c r="G562" i="5" s="1"/>
  <c r="G563" i="5" s="1"/>
  <c r="G564" i="5" s="1"/>
  <c r="G565" i="5" s="1"/>
  <c r="G566" i="5" s="1"/>
  <c r="G567" i="5" s="1"/>
  <c r="G568" i="5" s="1"/>
  <c r="G569" i="5" s="1"/>
  <c r="G570" i="5" s="1"/>
  <c r="G571" i="5" s="1"/>
  <c r="G572" i="5" s="1"/>
  <c r="G573" i="5" s="1"/>
  <c r="G574" i="5" s="1"/>
  <c r="G575" i="5" s="1"/>
  <c r="G576" i="5" s="1"/>
  <c r="G577" i="5" s="1"/>
  <c r="G578" i="5" s="1"/>
  <c r="G579" i="5" s="1"/>
  <c r="G580" i="5" s="1"/>
  <c r="G581" i="5" s="1"/>
  <c r="G582" i="5" s="1"/>
  <c r="G583" i="5" s="1"/>
  <c r="G584" i="5" s="1"/>
  <c r="G585" i="5" s="1"/>
  <c r="G586" i="5" s="1"/>
  <c r="G587" i="5" s="1"/>
  <c r="G588" i="5" s="1"/>
  <c r="G589" i="5" s="1"/>
  <c r="G590" i="5" s="1"/>
  <c r="G591" i="5" s="1"/>
  <c r="G592" i="5" s="1"/>
  <c r="G593" i="5" s="1"/>
  <c r="G594" i="5" s="1"/>
  <c r="G595" i="5" s="1"/>
  <c r="G596" i="5" s="1"/>
  <c r="G597" i="5" s="1"/>
  <c r="G598" i="5" s="1"/>
  <c r="G599" i="5" s="1"/>
  <c r="G600" i="5" s="1"/>
  <c r="G601" i="5" s="1"/>
  <c r="G602" i="5" s="1"/>
  <c r="G603" i="5" s="1"/>
  <c r="G604" i="5" s="1"/>
  <c r="G605" i="5" s="1"/>
  <c r="G606" i="5" s="1"/>
  <c r="G607" i="5" s="1"/>
  <c r="G608" i="5" s="1"/>
  <c r="G609" i="5" s="1"/>
  <c r="G610" i="5" s="1"/>
  <c r="G611" i="5" s="1"/>
  <c r="G612" i="5" s="1"/>
  <c r="G613" i="5" s="1"/>
  <c r="G614" i="5" s="1"/>
  <c r="G615" i="5" s="1"/>
  <c r="G616" i="5" s="1"/>
  <c r="G617" i="5" s="1"/>
  <c r="G618" i="5" s="1"/>
  <c r="G619" i="5" s="1"/>
  <c r="G620" i="5" s="1"/>
  <c r="G621" i="5" s="1"/>
  <c r="G622" i="5" s="1"/>
  <c r="G623" i="5" s="1"/>
  <c r="G624" i="5" s="1"/>
  <c r="G625" i="5" s="1"/>
  <c r="G626" i="5" s="1"/>
  <c r="G627" i="5" s="1"/>
  <c r="G628" i="5" s="1"/>
  <c r="G629" i="5" s="1"/>
  <c r="G630" i="5" s="1"/>
  <c r="G631" i="5" s="1"/>
  <c r="G632" i="5" s="1"/>
  <c r="G633" i="5" s="1"/>
  <c r="G634" i="5" s="1"/>
  <c r="G635" i="5" s="1"/>
  <c r="G636" i="5" s="1"/>
  <c r="G637" i="5" s="1"/>
  <c r="G638" i="5" s="1"/>
  <c r="G639" i="5" s="1"/>
  <c r="G640" i="5" s="1"/>
  <c r="G641" i="5" s="1"/>
  <c r="G642" i="5" s="1"/>
  <c r="G643" i="5" s="1"/>
  <c r="G644" i="5" s="1"/>
  <c r="G645" i="5" s="1"/>
  <c r="G646" i="5" s="1"/>
  <c r="G647" i="5" s="1"/>
  <c r="G648" i="5" s="1"/>
  <c r="G649" i="5" s="1"/>
  <c r="G650" i="5" s="1"/>
  <c r="G651" i="5" s="1"/>
  <c r="G652" i="5" s="1"/>
  <c r="G653" i="5" s="1"/>
  <c r="G654" i="5" s="1"/>
  <c r="G655" i="5" s="1"/>
  <c r="G656" i="5" s="1"/>
  <c r="G657" i="5" s="1"/>
  <c r="G658" i="5" s="1"/>
  <c r="G659" i="5" s="1"/>
  <c r="G660" i="5" s="1"/>
  <c r="G661" i="5" s="1"/>
  <c r="G662" i="5" s="1"/>
  <c r="G663" i="5" s="1"/>
  <c r="G664" i="5" s="1"/>
  <c r="G665" i="5" s="1"/>
  <c r="G666" i="5" s="1"/>
  <c r="G667" i="5" s="1"/>
  <c r="G668" i="5" s="1"/>
  <c r="G669" i="5" s="1"/>
  <c r="G670" i="5" s="1"/>
  <c r="G671" i="5" s="1"/>
  <c r="G672" i="5" s="1"/>
  <c r="G673" i="5" s="1"/>
  <c r="G674" i="5" s="1"/>
  <c r="G675" i="5" s="1"/>
  <c r="G676" i="5" s="1"/>
  <c r="G677" i="5" s="1"/>
  <c r="G678" i="5" s="1"/>
  <c r="G679" i="5" s="1"/>
  <c r="G680" i="5" s="1"/>
  <c r="G681" i="5" s="1"/>
  <c r="G682" i="5" s="1"/>
  <c r="G683" i="5" s="1"/>
  <c r="G684" i="5" s="1"/>
  <c r="G685" i="5" s="1"/>
  <c r="G686" i="5" s="1"/>
  <c r="G687" i="5" s="1"/>
  <c r="G688" i="5" s="1"/>
  <c r="G689" i="5" s="1"/>
  <c r="G690" i="5" s="1"/>
  <c r="G691" i="5" s="1"/>
  <c r="G692" i="5" s="1"/>
  <c r="G693" i="5" s="1"/>
  <c r="G694" i="5" s="1"/>
  <c r="G695" i="5" s="1"/>
  <c r="G696" i="5" s="1"/>
  <c r="G697" i="5" s="1"/>
  <c r="G698" i="5" s="1"/>
  <c r="G699" i="5" s="1"/>
  <c r="G700" i="5" s="1"/>
  <c r="G701" i="5" s="1"/>
  <c r="G702" i="5" s="1"/>
  <c r="G703" i="5" s="1"/>
  <c r="G704" i="5" s="1"/>
  <c r="G705" i="5" s="1"/>
  <c r="G706" i="5" s="1"/>
  <c r="G707" i="5" s="1"/>
  <c r="G425" i="5"/>
  <c r="G424" i="5"/>
  <c r="G5" i="5"/>
  <c r="G6" i="5"/>
  <c r="C6" i="5"/>
  <c r="C7" i="5"/>
  <c r="C5" i="5"/>
  <c r="E4" i="5" l="1"/>
  <c r="E3"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<sst xmlns="http://schemas.openxmlformats.org/spreadsheetml/2006/main" count="1878" uniqueCount="350">
  <si>
    <t>Month</t>
  </si>
  <si>
    <t>Date</t>
  </si>
  <si>
    <t>Description</t>
  </si>
  <si>
    <t>Category</t>
  </si>
  <si>
    <t>Income</t>
  </si>
  <si>
    <t>Debit</t>
  </si>
  <si>
    <t>Balance</t>
  </si>
  <si>
    <t>Deposit</t>
  </si>
  <si>
    <t>Transfer to savings</t>
  </si>
  <si>
    <t>Savings</t>
  </si>
  <si>
    <t>Total</t>
  </si>
  <si>
    <t>BUDGET</t>
  </si>
  <si>
    <t>Walmart</t>
  </si>
  <si>
    <t>Groceries</t>
  </si>
  <si>
    <t>Discover CREDIT</t>
  </si>
  <si>
    <t>CREDIT</t>
  </si>
  <si>
    <t>Gas</t>
  </si>
  <si>
    <t>Paycheck</t>
  </si>
  <si>
    <t>7-Eleven</t>
  </si>
  <si>
    <t>Tongue In Cheek</t>
  </si>
  <si>
    <t>BAL</t>
  </si>
  <si>
    <t>COMPLETE TOTAL</t>
  </si>
  <si>
    <t>Checking</t>
  </si>
  <si>
    <t xml:space="preserve">Expense </t>
  </si>
  <si>
    <t>BackYard Burger</t>
  </si>
  <si>
    <t>Teso</t>
  </si>
  <si>
    <t>Yunan Rice</t>
  </si>
  <si>
    <t>Somi Somi</t>
  </si>
  <si>
    <t>Piada</t>
  </si>
  <si>
    <t>PAYMENT</t>
  </si>
  <si>
    <t>PAYMENT  00ZW-XVXN-QHD6</t>
  </si>
  <si>
    <t>Payment</t>
  </si>
  <si>
    <t>Saving Interest</t>
  </si>
  <si>
    <t>CHK-AFTER</t>
  </si>
  <si>
    <t>MONARCH</t>
  </si>
  <si>
    <t>INTEREST Savings</t>
  </si>
  <si>
    <t>Starbucks</t>
  </si>
  <si>
    <t>Altar'd State</t>
  </si>
  <si>
    <t>Hollister</t>
  </si>
  <si>
    <t>Food</t>
  </si>
  <si>
    <t>Babe's Chicken</t>
  </si>
  <si>
    <t>PAYMENT  00ZW-Y0Z7-W187</t>
  </si>
  <si>
    <t>Sam's Fogo De Chao Gift Card</t>
  </si>
  <si>
    <t>PAYMENT  00ZW-Y3P4-CJLX</t>
  </si>
  <si>
    <t>Fukuro Poke &amp; Sushi</t>
  </si>
  <si>
    <t>Hobby Lobby</t>
  </si>
  <si>
    <t>PAYMENT  00ZW-Y8RD-8V9W</t>
  </si>
  <si>
    <t>Parchment (Pay transcript)</t>
  </si>
  <si>
    <t>Taco Bell</t>
  </si>
  <si>
    <t>PAYMENT  00ZW-YCD6-D67M</t>
  </si>
  <si>
    <t>VENMO Holly</t>
  </si>
  <si>
    <t>VENMO UTD FSA</t>
  </si>
  <si>
    <t>Redstraw</t>
  </si>
  <si>
    <t>Canes</t>
  </si>
  <si>
    <t>VENMO Jang</t>
  </si>
  <si>
    <t>Lantern Festival Fortworth</t>
  </si>
  <si>
    <t>Copart Merch</t>
  </si>
  <si>
    <t>H&amp;M</t>
  </si>
  <si>
    <t xml:space="preserve">PAYMENT  00ZW-YLGV-HJ2G	</t>
  </si>
  <si>
    <t>Sonic</t>
  </si>
  <si>
    <t>Boba Latte</t>
  </si>
  <si>
    <t>Thread Salon</t>
  </si>
  <si>
    <t>Kroger</t>
  </si>
  <si>
    <t>Nuevo Tacos</t>
  </si>
  <si>
    <t>Little Daisy</t>
  </si>
  <si>
    <t>Kokopelli Sweets</t>
  </si>
  <si>
    <t>Burlington</t>
  </si>
  <si>
    <t>Chipotle</t>
  </si>
  <si>
    <t>Best Buy</t>
  </si>
  <si>
    <t xml:space="preserve">PAYMENT  00ZW-YP6P-38NX	</t>
  </si>
  <si>
    <t>Amazon</t>
  </si>
  <si>
    <t>Michaels</t>
  </si>
  <si>
    <t>eBay Jason Cleats</t>
  </si>
  <si>
    <t>Chick Fil A</t>
  </si>
  <si>
    <t>CVS</t>
  </si>
  <si>
    <t xml:space="preserve">PAYMENT  00ZW-YX7L-BHH3	</t>
  </si>
  <si>
    <t>Okaeri Café</t>
  </si>
  <si>
    <t>Maji Sushi</t>
  </si>
  <si>
    <t>Target</t>
  </si>
  <si>
    <t>Uniqlo</t>
  </si>
  <si>
    <t>Pho DK</t>
  </si>
  <si>
    <t>American Eagle</t>
  </si>
  <si>
    <t>D'Caramel Patisserie</t>
  </si>
  <si>
    <t>Brandy Melville</t>
  </si>
  <si>
    <t>Aerie</t>
  </si>
  <si>
    <t>Pop Mart</t>
  </si>
  <si>
    <t>GAP</t>
  </si>
  <si>
    <t>GEN KBBQ</t>
  </si>
  <si>
    <t xml:space="preserve">PAYMENT  00ZW-YZYB-GZH8	</t>
  </si>
  <si>
    <t>Pho Bac</t>
  </si>
  <si>
    <t>VENMO Allison</t>
  </si>
  <si>
    <t>Ranch 99</t>
  </si>
  <si>
    <t>Spotify</t>
  </si>
  <si>
    <t>SEI Soccer Jason</t>
  </si>
  <si>
    <t>LAN Tickets</t>
  </si>
  <si>
    <t>VENMO Mom</t>
  </si>
  <si>
    <t xml:space="preserve">PAYMENT  00ZW-Z4Z7-RBCH	</t>
  </si>
  <si>
    <t>ICE! Gaylord</t>
  </si>
  <si>
    <t>ZELLE Hailey Yum</t>
  </si>
  <si>
    <t>ZELLE Jason Nguyen</t>
  </si>
  <si>
    <t>ZELLE</t>
  </si>
  <si>
    <t>Wylie B&amp;B</t>
  </si>
  <si>
    <t>Chiloso</t>
  </si>
  <si>
    <t>Chilis</t>
  </si>
  <si>
    <t>Mc Donalds</t>
  </si>
  <si>
    <t>ZELLE Terrence</t>
  </si>
  <si>
    <t>ZELLE Jennifer</t>
  </si>
  <si>
    <t xml:space="preserve">PAYMENT  00ZW-VVMQ-Y2DP	</t>
  </si>
  <si>
    <t>StubHub Empire of the Sun</t>
  </si>
  <si>
    <t>Sushi Soho</t>
  </si>
  <si>
    <t>See Tickets</t>
  </si>
  <si>
    <t>ZELLE Ryan</t>
  </si>
  <si>
    <t>Ice Skating Allen</t>
  </si>
  <si>
    <t>Fiery Nashville Chicken</t>
  </si>
  <si>
    <t xml:space="preserve">PAYMENT  00ZW-VY8J-1QQ5	</t>
  </si>
  <si>
    <t>STARTING Income</t>
  </si>
  <si>
    <t>IGNORE</t>
  </si>
  <si>
    <t>McGrawHill</t>
  </si>
  <si>
    <t>UTD Market</t>
  </si>
  <si>
    <t>Fortnite</t>
  </si>
  <si>
    <t>SnapChat</t>
  </si>
  <si>
    <t>In-N-Out</t>
  </si>
  <si>
    <t>Circle K</t>
  </si>
  <si>
    <t>Barnes &amp; Noble</t>
  </si>
  <si>
    <t>Trader Joes</t>
  </si>
  <si>
    <t>Dollar Tree</t>
  </si>
  <si>
    <t>WOOPS</t>
  </si>
  <si>
    <t>BREAKAWAY DALLAS</t>
  </si>
  <si>
    <t>ZELLE Pokemon</t>
  </si>
  <si>
    <t>ZELLE Farhad</t>
  </si>
  <si>
    <t>Entertainment</t>
  </si>
  <si>
    <t>FUNC Entertainment</t>
  </si>
  <si>
    <t>Crumbl Cookie</t>
  </si>
  <si>
    <t>See Tickets ALESSO</t>
  </si>
  <si>
    <t>StubHub EMPIRE OF THE SUN</t>
  </si>
  <si>
    <t>Party N Plano</t>
  </si>
  <si>
    <t>Canteen Vending</t>
  </si>
  <si>
    <t>Escape 360</t>
  </si>
  <si>
    <t>online savings interest</t>
  </si>
  <si>
    <t>TAX Repay</t>
  </si>
  <si>
    <t>TAX Savings</t>
  </si>
  <si>
    <t>Walmart Sony ZV-e10</t>
  </si>
  <si>
    <t>New Orleans Crab Shack</t>
  </si>
  <si>
    <t>CRANKDAT</t>
  </si>
  <si>
    <t>ZELLE Auntie Nadine</t>
  </si>
  <si>
    <t>Coldstone</t>
  </si>
  <si>
    <t>Bellevue</t>
  </si>
  <si>
    <t>Lord Rush</t>
  </si>
  <si>
    <t>Pokemon Vending Machine</t>
  </si>
  <si>
    <t>Boiling Crab</t>
  </si>
  <si>
    <t>ZELLE Colin</t>
  </si>
  <si>
    <t>Andy's</t>
  </si>
  <si>
    <t>ZELLE Brian</t>
  </si>
  <si>
    <t>BREAKAWAY DALLAS Parking</t>
  </si>
  <si>
    <t>7 Brew</t>
  </si>
  <si>
    <t>Bambu Thai</t>
  </si>
  <si>
    <t>Panda</t>
  </si>
  <si>
    <t>Driving Record</t>
  </si>
  <si>
    <t>SUBTRONICS</t>
  </si>
  <si>
    <t>Comedy Driving Course</t>
  </si>
  <si>
    <t>ZELLE Omar</t>
  </si>
  <si>
    <t>Ulta</t>
  </si>
  <si>
    <t>Whataburger</t>
  </si>
  <si>
    <t>Tacobell</t>
  </si>
  <si>
    <t>Ubbi Dubbi</t>
  </si>
  <si>
    <t>Raising Canes</t>
  </si>
  <si>
    <t>FortWorth Parker House Parking</t>
  </si>
  <si>
    <t>Fat Straws</t>
  </si>
  <si>
    <t>The Backyard</t>
  </si>
  <si>
    <t>Yummy Thai</t>
  </si>
  <si>
    <t>ZELLE MAAZ</t>
  </si>
  <si>
    <t>Copart Chop Shop Kitchen</t>
  </si>
  <si>
    <t>Name</t>
  </si>
  <si>
    <t>Ticker</t>
  </si>
  <si>
    <t>Quantity</t>
  </si>
  <si>
    <t>Last price</t>
  </si>
  <si>
    <t>Last price change</t>
  </si>
  <si>
    <t>Current value</t>
  </si>
  <si>
    <t>$ Daily gain/loss</t>
  </si>
  <si>
    <t>% Daily gain/loss</t>
  </si>
  <si>
    <t>$ Total gain/loss</t>
  </si>
  <si>
    <t>% Total gain/loss</t>
  </si>
  <si>
    <t>Cost basis per share</t>
  </si>
  <si>
    <t>Cost basis total</t>
  </si>
  <si>
    <t>FID MID CAP IDXopens in new window</t>
  </si>
  <si>
    <t>FSMDX</t>
  </si>
  <si>
    <t>VOYA INTERM BOND Iopens in new window</t>
  </si>
  <si>
    <t>IICIX</t>
  </si>
  <si>
    <t>PUTN LARGE CP VAL R1opens in new window</t>
  </si>
  <si>
    <t>n/a</t>
  </si>
  <si>
    <t>TRP RET BLEND 2050 Gopens in new window</t>
  </si>
  <si>
    <t>TRP RET BLEND 2065 Gopens in new window</t>
  </si>
  <si>
    <t>TRP RET BLEND 2055 Gopens in new window</t>
  </si>
  <si>
    <t>PIMCO INCOME Aopens in new window</t>
  </si>
  <si>
    <t>PONAX</t>
  </si>
  <si>
    <t>LARGE CAP GRTH II R1opens in new window</t>
  </si>
  <si>
    <t>TRP RET BLEND 2060 Gopens in new window</t>
  </si>
  <si>
    <t>TRP RET BLEND 2035 Gopens in new window</t>
  </si>
  <si>
    <t>AF NEW WORLD R6opens in new window</t>
  </si>
  <si>
    <t>RNWGX</t>
  </si>
  <si>
    <t>TRP RET BLEND 2040 Gopens in new window</t>
  </si>
  <si>
    <t>BLENDED STABLE VALUEopens in new window</t>
  </si>
  <si>
    <t>FID 500 INDEXopens in new window</t>
  </si>
  <si>
    <t>FXAIX</t>
  </si>
  <si>
    <t>FID SM CAP IDXopens in new window</t>
  </si>
  <si>
    <t>FSSNX</t>
  </si>
  <si>
    <t>MFS INTL DIVRSN R3opens in new window</t>
  </si>
  <si>
    <t>MDIHX</t>
  </si>
  <si>
    <t>FID US BOND IDXopens in new window</t>
  </si>
  <si>
    <t>FXNAX</t>
  </si>
  <si>
    <t>FID TOTAL INTL IDXopens in new window</t>
  </si>
  <si>
    <t>FTIHX</t>
  </si>
  <si>
    <t>Jersey Mikes</t>
  </si>
  <si>
    <t>Gyro Shop</t>
  </si>
  <si>
    <t>Chop Shop</t>
  </si>
  <si>
    <t>VENMO</t>
  </si>
  <si>
    <t>ALASKA SHIRT</t>
  </si>
  <si>
    <t>TONGASS TRADING</t>
  </si>
  <si>
    <t>OCEAN SIDE GIFTS VICTORIA</t>
  </si>
  <si>
    <t>BMW Dallas Marathon</t>
  </si>
  <si>
    <t>Tutugether</t>
  </si>
  <si>
    <t>Happy Lemon</t>
  </si>
  <si>
    <t>Jinya Carrolton</t>
  </si>
  <si>
    <t>Tiger Sugar</t>
  </si>
  <si>
    <t>BUNT TICKETS</t>
  </si>
  <si>
    <t>STEAM Peak</t>
  </si>
  <si>
    <t>Nuevo Taco</t>
  </si>
  <si>
    <t>UBER</t>
  </si>
  <si>
    <t>Mochinut</t>
  </si>
  <si>
    <t>Pokemon Center</t>
  </si>
  <si>
    <t>Plomo Quesadilla</t>
  </si>
  <si>
    <t>Popmart</t>
  </si>
  <si>
    <t>American Cookie</t>
  </si>
  <si>
    <t>La La Land</t>
  </si>
  <si>
    <t>Texas Roadhouse</t>
  </si>
  <si>
    <t>ZELLE Chiayi</t>
  </si>
  <si>
    <t>Kaitlyn's WHS Parking</t>
  </si>
  <si>
    <t>ZELLE Mom: Car Insurance</t>
  </si>
  <si>
    <t>Murphy Express Snacks</t>
  </si>
  <si>
    <t>Torchys</t>
  </si>
  <si>
    <t>KAI WACHI</t>
  </si>
  <si>
    <t>Kyuramen</t>
  </si>
  <si>
    <t>Cava</t>
  </si>
  <si>
    <t>Dutch Bros</t>
  </si>
  <si>
    <t>Paris Baguette</t>
  </si>
  <si>
    <t>Medieval Times</t>
  </si>
  <si>
    <t>Carrolton Gift Shop</t>
  </si>
  <si>
    <t>Hailey ZELLE</t>
  </si>
  <si>
    <t>Paradiso</t>
  </si>
  <si>
    <t>ZELLE Jordin</t>
  </si>
  <si>
    <t>BJ's</t>
  </si>
  <si>
    <t>Cane's</t>
  </si>
  <si>
    <t>Victoria Secret</t>
  </si>
  <si>
    <t>The Dallas World Aquarium</t>
  </si>
  <si>
    <t>Crumbl</t>
  </si>
  <si>
    <t>WingStop</t>
  </si>
  <si>
    <t>Bojangles</t>
  </si>
  <si>
    <t>UTD Vending Machine</t>
  </si>
  <si>
    <t>THE LIVING TOMBSTONE</t>
  </si>
  <si>
    <t>Panda Express</t>
  </si>
  <si>
    <t>DPS New Drivers License</t>
  </si>
  <si>
    <t>Textbook UTD</t>
  </si>
  <si>
    <t>UTD FSA Membership</t>
  </si>
  <si>
    <t>Mori Teriyaki</t>
  </si>
  <si>
    <t>TEASURY MONEY</t>
  </si>
  <si>
    <t>ZELLE Mom</t>
  </si>
  <si>
    <t>UTD Orange Parking</t>
  </si>
  <si>
    <t>Laufey Parking</t>
  </si>
  <si>
    <t>Laufey Merch</t>
  </si>
  <si>
    <t>UTD Chick Fil A</t>
  </si>
  <si>
    <t>STEAM Unravel</t>
  </si>
  <si>
    <t>Dave's Hot Chicken</t>
  </si>
  <si>
    <t>POKEMON</t>
  </si>
  <si>
    <t>Best Buy-Pokemon</t>
  </si>
  <si>
    <t>Kinokuniya</t>
  </si>
  <si>
    <t>Murphy Express</t>
  </si>
  <si>
    <t>Richland Hair</t>
  </si>
  <si>
    <t>Walmart +</t>
  </si>
  <si>
    <t>Target-+C364+[@Description]</t>
  </si>
  <si>
    <t>Walmart Pokemon</t>
  </si>
  <si>
    <t>Pine Isle</t>
  </si>
  <si>
    <t>Wabi House</t>
  </si>
  <si>
    <t>Spirit Halloween</t>
  </si>
  <si>
    <t>Ross</t>
  </si>
  <si>
    <t>Mcdonald's</t>
  </si>
  <si>
    <t>Discover Dispute Charge for PokemonCenter</t>
  </si>
  <si>
    <t>Sephora</t>
  </si>
  <si>
    <t>Boba</t>
  </si>
  <si>
    <t>SPECS</t>
  </si>
  <si>
    <t>Bucees</t>
  </si>
  <si>
    <t>Uber</t>
  </si>
  <si>
    <t>Cabo Bobs Burritos</t>
  </si>
  <si>
    <t>Hoboken Pies</t>
  </si>
  <si>
    <t>STEAM RV There Yet</t>
  </si>
  <si>
    <t>Pokemon Center REFUND</t>
  </si>
  <si>
    <t>ZELLE Dale</t>
  </si>
  <si>
    <t>Cinemark</t>
  </si>
  <si>
    <t>JolliBee</t>
  </si>
  <si>
    <t>Game Nerdz</t>
  </si>
  <si>
    <t>Feng Cha</t>
  </si>
  <si>
    <t>Stand For The Silent Charity</t>
  </si>
  <si>
    <t>Snapchat</t>
  </si>
  <si>
    <t>ZELLE Pokemon Center</t>
  </si>
  <si>
    <t>RAVE Ray Volpe</t>
  </si>
  <si>
    <t>RAVE TeleTech</t>
  </si>
  <si>
    <t>Walmart+</t>
  </si>
  <si>
    <t>ZELLE Lola</t>
  </si>
  <si>
    <t>Kate Spade</t>
  </si>
  <si>
    <t>Fiesta Mart</t>
  </si>
  <si>
    <t>Nikugen</t>
  </si>
  <si>
    <t>Aeropostale</t>
  </si>
  <si>
    <t>Max's Donuts</t>
  </si>
  <si>
    <t>Pokemon</t>
  </si>
  <si>
    <t>SAVINGS</t>
  </si>
  <si>
    <t>TOTAL</t>
  </si>
  <si>
    <t>Row Labels</t>
  </si>
  <si>
    <t>Grand Total</t>
  </si>
  <si>
    <t>Sum of Income</t>
  </si>
  <si>
    <t>Jan</t>
  </si>
  <si>
    <t>Feb</t>
  </si>
  <si>
    <t>Mar</t>
  </si>
  <si>
    <t>Apr</t>
  </si>
  <si>
    <t>May</t>
  </si>
  <si>
    <t>Jun</t>
  </si>
  <si>
    <t>Jul</t>
  </si>
  <si>
    <t>Aug</t>
  </si>
  <si>
    <t>Sep</t>
  </si>
  <si>
    <t>Oct</t>
  </si>
  <si>
    <t>Nov</t>
  </si>
  <si>
    <t>Dec</t>
  </si>
  <si>
    <t>Credit</t>
  </si>
  <si>
    <t>Sum of Credit</t>
  </si>
  <si>
    <t>(Multiple Items)</t>
  </si>
  <si>
    <t>CHECKINGS</t>
  </si>
  <si>
    <t>MONTHLY EXPENSES</t>
  </si>
  <si>
    <t>MONTHLY INCOME</t>
  </si>
  <si>
    <t>KEY MATRICS</t>
  </si>
  <si>
    <t>Expense</t>
  </si>
  <si>
    <t>Expenses</t>
  </si>
  <si>
    <t>Eating out</t>
  </si>
  <si>
    <t>Month2</t>
  </si>
  <si>
    <t>SubCategory</t>
  </si>
  <si>
    <t>Concert</t>
  </si>
  <si>
    <t>Outing</t>
  </si>
  <si>
    <t>Subscription</t>
  </si>
  <si>
    <t>Games</t>
  </si>
  <si>
    <t>ZELLE Income</t>
  </si>
  <si>
    <t>EXPENSES BY SUBCATEGORY</t>
  </si>
  <si>
    <t>EXPENSES BY CATEGORY</t>
  </si>
  <si>
    <t xml:space="preserve">PAYMENT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</si>
</sst>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44" formatCode="_(&quot;$&quot;* #,##0.00_);_(&quot;$&quot;* \(#,##0.00\);_(&quot;$&quot;* &quot;-&quot;??_);_(@_)"/>
    <numFmt numFmtId="164" formatCode="_(&quot;$&quot;* #,##0_);_(&quot;$&quot;* \(#,##0\);_(&quot;$&quot;* &quot;-&quot;??_);_(@_)"/>
    <numFmt numFmtId="165" formatCode="0.0,&quot;k&quot;"/>
  </numFmts>
  <fonts count="21" x14ac:knownFonts="1">
    <font>
      <sz val="11"/>
      <color theme="1"/>
      <name val="Aptos Narrow"/>
      <family val="2"/>
      <scheme val="minor"/>
    </font>
    <font>
      <sz val="11"/>
      <color theme="1"/>
      <name val="Aptos Narrow"/>
      <family val="2"/>
      <scheme val="minor"/>
    </font>
    <font>
      <sz val="11"/>
      <color rgb="FFFF0000"/>
      <name val="Aptos Narrow"/>
      <family val="2"/>
      <scheme val="minor"/>
    </font>
    <font>
      <sz val="11"/>
      <color rgb="FF00B050"/>
      <name val="Aptos Narrow"/>
      <family val="2"/>
      <scheme val="minor"/>
    </font>
    <font>
      <sz val="8"/>
      <name val="Aptos Narrow"/>
      <family val="2"/>
      <scheme val="minor"/>
    </font>
    <font>
      <sz val="11"/>
      <color rgb="FF9C5700"/>
      <name val="Aptos Narrow"/>
      <family val="2"/>
      <scheme val="minor"/>
    </font>
    <font>
      <b/>
      <sz val="11"/>
      <color rgb="FFFA7D00"/>
      <name val="Aptos Narrow"/>
      <family val="2"/>
      <scheme val="minor"/>
    </font>
    <font>
      <sz val="11"/>
      <name val="Aptos Narrow"/>
      <family val="2"/>
      <scheme val="minor"/>
    </font>
    <font>
      <sz val="11"/>
      <color theme="5"/>
      <name val="Aptos Narrow"/>
      <family val="2"/>
      <scheme val="minor"/>
    </font>
    <font>
      <sz val="11"/>
      <color rgb="FF3F3F76"/>
      <name val="Aptos Narrow"/>
      <family val="2"/>
      <scheme val="minor"/>
    </font>
    <font>
      <sz val="11"/>
      <color rgb="FFC28014"/>
      <name val="Aptos Narrow"/>
      <family val="2"/>
      <scheme val="minor"/>
    </font>
    <font>
      <b/>
      <sz val="11"/>
      <color theme="1"/>
      <name val="Aptos Narrow"/>
      <family val="2"/>
      <scheme val="minor"/>
    </font>
    <font>
      <b/>
      <sz val="11"/>
      <color rgb="FF000000"/>
      <name val="Arial"/>
      <family val="2"/>
    </font>
    <font>
      <sz val="11"/>
      <color rgb="FF000000"/>
      <name val="Arial"/>
      <family val="2"/>
    </font>
    <font>
      <sz val="11"/>
      <color rgb="FF0D6F3F"/>
      <name val="Arial"/>
      <family val="2"/>
    </font>
    <font>
      <sz val="11"/>
      <color rgb="FFB41212"/>
      <name val="Arial"/>
      <family val="2"/>
    </font>
    <font>
      <b/>
      <sz val="11"/>
      <color rgb="FF0D6F3F"/>
      <name val="Arial"/>
      <family val="2"/>
    </font>
    <font>
      <b/>
      <sz val="11"/>
      <color rgb="FFB41212"/>
      <name val="Arial"/>
      <family val="2"/>
    </font>
    <font>
      <u/>
      <sz val="11"/>
      <color theme="10"/>
      <name val="Aptos Narrow"/>
      <family val="2"/>
      <scheme val="minor"/>
    </font>
    <font>
      <b/>
      <u/>
      <sz val="11"/>
      <color theme="1"/>
      <name val="Aptos Narrow"/>
      <family val="2"/>
      <scheme val="minor"/>
    </font>
    <font>
      <b/>
      <sz val="11"/>
      <color theme="0"/>
      <name val="Aptos Narrow"/>
      <family val="2"/>
      <scheme val="minor"/>
    </font>
  </fonts>
  <fills count="15">
    <fill>
      <patternFill patternType="none"/>
    </fill>
    <fill>
      <patternFill patternType="gray125"/>
    </fill>
    <fill>
      <patternFill patternType="solid">
        <fgColor theme="2" tint="-0.499984740745262"/>
        <bgColor indexed="64"/>
      </patternFill>
    </fill>
    <fill>
      <patternFill patternType="solid">
        <fgColor rgb="FFFFEB9C"/>
      </patternFill>
    </fill>
    <fill>
      <patternFill patternType="solid">
        <fgColor rgb="FFF2F2F2"/>
      </patternFill>
    </fill>
    <fill>
      <patternFill patternType="solid">
        <fgColor theme="1"/>
        <bgColor indexed="64"/>
      </patternFill>
    </fill>
    <fill>
      <patternFill patternType="solid">
        <fgColor rgb="FFFF0000"/>
        <bgColor indexed="64"/>
      </patternFill>
    </fill>
    <fill>
      <patternFill patternType="solid">
        <fgColor rgb="FF00B050"/>
        <bgColor indexed="64"/>
      </patternFill>
    </fill>
    <fill>
      <patternFill patternType="solid">
        <fgColor rgb="FFFFCC99"/>
      </patternFill>
    </fill>
    <fill>
      <patternFill patternType="solid">
        <fgColor theme="0" tint="-0.14999847407452621"/>
        <bgColor theme="0" tint="-0.14999847407452621"/>
      </patternFill>
    </fill>
    <fill>
      <patternFill patternType="solid">
        <fgColor rgb="FFFFFF99"/>
        <bgColor indexed="64"/>
      </patternFill>
    </fill>
    <fill>
      <patternFill patternType="solid">
        <fgColor rgb="FFFFFFFF"/>
        <bgColor indexed="64"/>
      </patternFill>
    </fill>
    <fill>
      <patternFill patternType="solid">
        <fgColor rgb="FFFFFF00"/>
        <bgColor indexed="64"/>
      </patternFill>
    </fill>
    <fill>
      <patternFill patternType="solid">
        <fgColor rgb="FFA5A5A5"/>
      </patternFill>
    </fill>
    <fill>
      <patternFill patternType="solid">
        <fgColor theme="4" tint="0.79998168889431442"/>
        <bgColor theme="4" tint="0.79998168889431442"/>
      </patternFill>
    </fill>
  </fills>
  <borders count="24">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style="thick">
        <color rgb="FFC00000"/>
      </bottom>
      <diagonal/>
    </border>
    <border>
      <left/>
      <right/>
      <top/>
      <bottom style="thick">
        <color rgb="FFC00000"/>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top/>
      <bottom style="medium">
        <color rgb="FFCCCCCC"/>
      </bottom>
      <diagonal/>
    </border>
    <border>
      <left style="double">
        <color rgb="FF3F3F3F"/>
      </left>
      <right style="double">
        <color rgb="FF3F3F3F"/>
      </right>
      <top style="double">
        <color rgb="FF3F3F3F"/>
      </top>
      <bottom style="double">
        <color rgb="FF3F3F3F"/>
      </bottom>
      <diagonal/>
    </border>
    <border>
      <left/>
      <right/>
      <top/>
      <bottom style="thin">
        <color theme="4" tint="0.39997558519241921"/>
      </bottom>
      <diagonal/>
    </border>
    <border>
      <left/>
      <right/>
      <top style="thin">
        <color theme="4" tint="0.39997558519241921"/>
      </top>
      <bottom/>
      <diagonal/>
    </border>
  </borders>
  <cellStyleXfs count="9">
    <xf numFmtId="0" fontId="0" fillId="0" borderId="0"/>
    <xf numFmtId="44" fontId="1" fillId="0" borderId="0" applyFont="0" applyFill="0" applyBorder="0" applyAlignment="0" applyProtection="0"/>
    <xf numFmtId="0" fontId="5" fillId="3" borderId="0" applyNumberFormat="0" applyBorder="0" applyAlignment="0" applyProtection="0"/>
    <xf numFmtId="0" fontId="6" fillId="4" borderId="1" applyNumberFormat="0" applyAlignment="0" applyProtection="0"/>
    <xf numFmtId="9" fontId="1" fillId="0" borderId="0" applyFont="0" applyFill="0" applyBorder="0" applyAlignment="0" applyProtection="0"/>
    <xf numFmtId="0" fontId="9" fillId="8" borderId="1" applyNumberFormat="0" applyAlignment="0" applyProtection="0"/>
    <xf numFmtId="0" fontId="10" fillId="10" borderId="0" applyNumberFormat="0" applyBorder="0" applyAlignment="0" applyProtection="0"/>
    <xf numFmtId="0" fontId="18" fillId="0" borderId="0" applyNumberFormat="0" applyFill="0" applyBorder="0" applyAlignment="0" applyProtection="0"/>
    <xf numFmtId="0" fontId="20" fillId="13" borderId="21" applyNumberFormat="0" applyAlignment="0" applyProtection="0"/>
  </cellStyleXfs>
  <cellXfs count="86">
    <xf numFmtId="0" fontId="0" fillId="0" borderId="0" xfId="0"/>
    <xf numFmtId="14" fontId="0" fillId="0" borderId="0" xfId="0" applyNumberFormat="1"/>
    <xf numFmtId="44" fontId="0" fillId="0" borderId="0" xfId="1" applyFont="1"/>
    <xf numFmtId="0" fontId="0" fillId="2" borderId="0" xfId="0" applyFill="1"/>
    <xf numFmtId="44" fontId="0" fillId="2" borderId="0" xfId="1" applyFont="1" applyFill="1"/>
    <xf numFmtId="44" fontId="0" fillId="0" borderId="0" xfId="0" applyNumberFormat="1"/>
    <xf numFmtId="44" fontId="2" fillId="0" borderId="0" xfId="1" applyFont="1"/>
    <xf numFmtId="44" fontId="3" fillId="0" borderId="0" xfId="1" applyFont="1" applyFill="1"/>
    <xf numFmtId="0" fontId="5" fillId="3" borderId="0" xfId="2"/>
    <xf numFmtId="44" fontId="5" fillId="3" borderId="0" xfId="2" applyNumberFormat="1"/>
    <xf numFmtId="44" fontId="7" fillId="0" borderId="0" xfId="1" applyFont="1"/>
    <xf numFmtId="44" fontId="8" fillId="0" borderId="0" xfId="1" applyFont="1"/>
    <xf numFmtId="44" fontId="6" fillId="4" borderId="1" xfId="3" applyNumberFormat="1"/>
    <xf numFmtId="0" fontId="3" fillId="0" borderId="0" xfId="0" applyFont="1"/>
    <xf numFmtId="0" fontId="0" fillId="0" borderId="2" xfId="0" applyBorder="1"/>
    <xf numFmtId="0" fontId="0" fillId="0" borderId="3" xfId="0" applyBorder="1"/>
    <xf numFmtId="0" fontId="0" fillId="0" borderId="5" xfId="0" applyBorder="1"/>
    <xf numFmtId="0" fontId="0" fillId="0" borderId="7" xfId="0" applyBorder="1"/>
    <xf numFmtId="0" fontId="0" fillId="0" borderId="10" xfId="0" applyBorder="1"/>
    <xf numFmtId="0" fontId="0" fillId="0" borderId="12" xfId="0" applyBorder="1"/>
    <xf numFmtId="0" fontId="0" fillId="0" borderId="13" xfId="0" applyBorder="1"/>
    <xf numFmtId="14" fontId="0" fillId="0" borderId="13" xfId="0" applyNumberFormat="1" applyBorder="1"/>
    <xf numFmtId="44" fontId="0" fillId="0" borderId="13" xfId="1" applyFont="1" applyBorder="1"/>
    <xf numFmtId="0" fontId="0" fillId="0" borderId="14" xfId="0" applyBorder="1"/>
    <xf numFmtId="14" fontId="0" fillId="0" borderId="14" xfId="0" applyNumberFormat="1" applyBorder="1"/>
    <xf numFmtId="44" fontId="8" fillId="0" borderId="14" xfId="1" applyFont="1" applyBorder="1"/>
    <xf numFmtId="44" fontId="0" fillId="0" borderId="14" xfId="1" applyFont="1" applyBorder="1"/>
    <xf numFmtId="0" fontId="0" fillId="0" borderId="15" xfId="0" applyBorder="1"/>
    <xf numFmtId="14" fontId="0" fillId="0" borderId="15" xfId="0" applyNumberFormat="1" applyBorder="1"/>
    <xf numFmtId="44" fontId="0" fillId="0" borderId="15" xfId="1" applyFont="1" applyBorder="1"/>
    <xf numFmtId="44" fontId="8" fillId="0" borderId="15" xfId="1" applyFont="1" applyBorder="1"/>
    <xf numFmtId="0" fontId="8" fillId="0" borderId="15" xfId="0" applyFont="1" applyBorder="1"/>
    <xf numFmtId="0" fontId="8" fillId="0" borderId="0" xfId="0" applyFont="1"/>
    <xf numFmtId="44" fontId="3" fillId="0" borderId="0" xfId="1" applyFont="1"/>
    <xf numFmtId="44" fontId="0" fillId="0" borderId="4" xfId="1" applyFont="1" applyBorder="1"/>
    <xf numFmtId="44" fontId="0" fillId="0" borderId="6" xfId="1" applyFont="1" applyBorder="1"/>
    <xf numFmtId="44" fontId="0" fillId="0" borderId="11" xfId="1" applyFont="1" applyBorder="1"/>
    <xf numFmtId="44" fontId="0" fillId="0" borderId="8" xfId="1" applyFont="1" applyBorder="1"/>
    <xf numFmtId="44" fontId="0" fillId="0" borderId="9" xfId="1" applyFont="1" applyBorder="1"/>
    <xf numFmtId="0" fontId="0" fillId="5" borderId="0" xfId="0" applyFill="1"/>
    <xf numFmtId="44" fontId="0" fillId="5" borderId="0" xfId="0" applyNumberFormat="1" applyFill="1"/>
    <xf numFmtId="9" fontId="0" fillId="6" borderId="0" xfId="4" applyFont="1" applyFill="1"/>
    <xf numFmtId="9" fontId="0" fillId="7" borderId="0" xfId="4" applyFont="1" applyFill="1"/>
    <xf numFmtId="44" fontId="0" fillId="0" borderId="0" xfId="1" applyFont="1" applyFill="1"/>
    <xf numFmtId="44" fontId="8" fillId="0" borderId="0" xfId="1" applyFont="1" applyFill="1"/>
    <xf numFmtId="44" fontId="1" fillId="0" borderId="0" xfId="1" applyFont="1"/>
    <xf numFmtId="44" fontId="3" fillId="0" borderId="15" xfId="1" applyFont="1" applyBorder="1"/>
    <xf numFmtId="14" fontId="3" fillId="0" borderId="0" xfId="0" applyNumberFormat="1" applyFont="1"/>
    <xf numFmtId="14" fontId="0" fillId="9" borderId="13" xfId="0" applyNumberFormat="1" applyFill="1" applyBorder="1"/>
    <xf numFmtId="0" fontId="9" fillId="8" borderId="1" xfId="5"/>
    <xf numFmtId="44" fontId="10" fillId="10" borderId="0" xfId="6" applyNumberFormat="1"/>
    <xf numFmtId="44" fontId="11" fillId="0" borderId="0" xfId="1" applyFont="1"/>
    <xf numFmtId="0" fontId="0" fillId="11" borderId="0" xfId="0" applyFill="1"/>
    <xf numFmtId="0" fontId="12" fillId="11" borderId="16" xfId="0" applyFont="1" applyFill="1" applyBorder="1" applyAlignment="1">
      <alignment horizontal="left" wrapText="1"/>
    </xf>
    <xf numFmtId="0" fontId="12" fillId="11" borderId="17" xfId="0" applyFont="1" applyFill="1" applyBorder="1" applyAlignment="1">
      <alignment horizontal="left" wrapText="1"/>
    </xf>
    <xf numFmtId="0" fontId="12" fillId="11" borderId="18" xfId="0" applyFont="1" applyFill="1" applyBorder="1" applyAlignment="1">
      <alignment horizontal="left" wrapText="1"/>
    </xf>
    <xf numFmtId="0" fontId="18" fillId="11" borderId="16" xfId="7" applyFill="1" applyBorder="1" applyAlignment="1">
      <alignment horizontal="left" vertical="top" wrapText="1"/>
    </xf>
    <xf numFmtId="0" fontId="13" fillId="11" borderId="17" xfId="0" applyFont="1" applyFill="1" applyBorder="1" applyAlignment="1">
      <alignment horizontal="right" vertical="top" wrapText="1"/>
    </xf>
    <xf numFmtId="8" fontId="13" fillId="11" borderId="17" xfId="0" applyNumberFormat="1" applyFont="1" applyFill="1" applyBorder="1" applyAlignment="1">
      <alignment horizontal="right" vertical="top" wrapText="1"/>
    </xf>
    <xf numFmtId="8" fontId="14" fillId="11" borderId="17" xfId="0" applyNumberFormat="1" applyFont="1" applyFill="1" applyBorder="1" applyAlignment="1">
      <alignment horizontal="right" vertical="top" wrapText="1"/>
    </xf>
    <xf numFmtId="10" fontId="14" fillId="11" borderId="17" xfId="0" applyNumberFormat="1" applyFont="1" applyFill="1" applyBorder="1" applyAlignment="1">
      <alignment horizontal="right" vertical="top" wrapText="1"/>
    </xf>
    <xf numFmtId="8" fontId="15" fillId="11" borderId="17" xfId="0" applyNumberFormat="1" applyFont="1" applyFill="1" applyBorder="1" applyAlignment="1">
      <alignment horizontal="right" vertical="top" wrapText="1"/>
    </xf>
    <xf numFmtId="10" fontId="15" fillId="11" borderId="17" xfId="0" applyNumberFormat="1" applyFont="1" applyFill="1" applyBorder="1" applyAlignment="1">
      <alignment horizontal="right" vertical="top" wrapText="1"/>
    </xf>
    <xf numFmtId="8" fontId="13" fillId="11" borderId="18" xfId="0" applyNumberFormat="1" applyFont="1" applyFill="1" applyBorder="1" applyAlignment="1">
      <alignment horizontal="right" vertical="top" wrapText="1"/>
    </xf>
    <xf numFmtId="10" fontId="13" fillId="11" borderId="17" xfId="0" applyNumberFormat="1" applyFont="1" applyFill="1" applyBorder="1" applyAlignment="1">
      <alignment horizontal="right" vertical="top" wrapText="1"/>
    </xf>
    <xf numFmtId="0" fontId="12" fillId="11" borderId="16" xfId="0" applyFont="1" applyFill="1" applyBorder="1" applyAlignment="1">
      <alignment horizontal="left" vertical="top" wrapText="1"/>
    </xf>
    <xf numFmtId="0" fontId="12" fillId="11" borderId="19" xfId="0" applyFont="1" applyFill="1" applyBorder="1" applyAlignment="1">
      <alignment horizontal="left" vertical="top" wrapText="1"/>
    </xf>
    <xf numFmtId="8" fontId="12" fillId="11" borderId="19" xfId="0" applyNumberFormat="1" applyFont="1" applyFill="1" applyBorder="1" applyAlignment="1">
      <alignment horizontal="right" vertical="top" wrapText="1"/>
    </xf>
    <xf numFmtId="8" fontId="16" fillId="11" borderId="19" xfId="0" applyNumberFormat="1" applyFont="1" applyFill="1" applyBorder="1" applyAlignment="1">
      <alignment horizontal="right" vertical="top" wrapText="1"/>
    </xf>
    <xf numFmtId="10" fontId="16" fillId="11" borderId="19" xfId="0" applyNumberFormat="1" applyFont="1" applyFill="1" applyBorder="1" applyAlignment="1">
      <alignment horizontal="right" vertical="top" wrapText="1"/>
    </xf>
    <xf numFmtId="8" fontId="17" fillId="11" borderId="19" xfId="0" applyNumberFormat="1" applyFont="1" applyFill="1" applyBorder="1" applyAlignment="1">
      <alignment horizontal="right" vertical="top" wrapText="1"/>
    </xf>
    <xf numFmtId="10" fontId="17" fillId="11" borderId="19" xfId="0" applyNumberFormat="1" applyFont="1" applyFill="1" applyBorder="1" applyAlignment="1">
      <alignment horizontal="right" vertical="top" wrapText="1"/>
    </xf>
    <xf numFmtId="44" fontId="0" fillId="0" borderId="0" xfId="1" applyFont="1" applyBorder="1"/>
    <xf numFmtId="16" fontId="0" fillId="0" borderId="0" xfId="0" applyNumberFormat="1"/>
    <xf numFmtId="0" fontId="20" fillId="13" borderId="21" xfId="8"/>
    <xf numFmtId="14" fontId="0" fillId="12" borderId="0" xfId="0" applyNumberFormat="1" applyFill="1"/>
    <xf numFmtId="44" fontId="0" fillId="12" borderId="0" xfId="1" applyFont="1" applyFill="1"/>
    <xf numFmtId="0" fontId="11" fillId="14" borderId="22" xfId="0" applyFont="1" applyFill="1" applyBorder="1"/>
    <xf numFmtId="0" fontId="0" fillId="0" borderId="0" xfId="0" pivotButton="1"/>
    <xf numFmtId="0" fontId="0" fillId="0" borderId="0" xfId="0" applyAlignment="1">
      <alignment horizontal="left"/>
    </xf>
    <xf numFmtId="0" fontId="11" fillId="14" borderId="23" xfId="0" applyFont="1" applyFill="1" applyBorder="1" applyAlignment="1">
      <alignment horizontal="left"/>
    </xf>
    <xf numFmtId="164" fontId="0" fillId="0" borderId="0" xfId="1" applyNumberFormat="1" applyFont="1"/>
    <xf numFmtId="164" fontId="0" fillId="0" borderId="0" xfId="0" applyNumberFormat="1"/>
    <xf numFmtId="165" fontId="0" fillId="0" borderId="0" xfId="1" applyNumberFormat="1" applyFont="1"/>
    <xf numFmtId="0" fontId="0" fillId="12" borderId="0" xfId="0" applyFill="1" applyAlignment="1">
      <alignment horizontal="center"/>
    </xf>
    <xf numFmtId="15" fontId="19" fillId="11" borderId="20" xfId="0" applyNumberFormat="1" applyFont="1" applyFill="1" applyBorder="1" applyAlignment="1">
      <alignment horizontal="center"/>
    </xf>
  </cellXfs>
  <cellStyles count="9">
    <cellStyle name="Calculation" xfId="3" builtinId="22"/>
    <cellStyle name="Check Cell" xfId="8" builtinId="23"/>
    <cellStyle name="Currency" xfId="1" builtinId="4"/>
    <cellStyle name="Hyperlink" xfId="7" builtinId="8"/>
    <cellStyle name="Input" xfId="5" builtinId="20"/>
    <cellStyle name="Neutral" xfId="2" builtinId="28"/>
    <cellStyle name="Normal" xfId="0" builtinId="0"/>
    <cellStyle name="PAYMENT" xfId="6" xr:uid="{7BF1739B-679A-47A6-B9EC-0EA40D4BE919}"/>
    <cellStyle name="Percent" xfId="4" builtinId="5"/>
  </cellStyles>
  <dxfs count="34">
    <dxf>
      <font>
        <color rgb="FFFF0000"/>
      </font>
    </dxf>
    <dxf>
      <font>
        <color rgb="FF00B050"/>
      </font>
    </dxf>
    <dxf>
      <font>
        <color rgb="FF00B050"/>
      </font>
    </dxf>
    <dxf>
      <font>
        <color rgb="FFC28014"/>
      </font>
      <fill>
        <patternFill>
          <bgColor rgb="FFFFFF99"/>
        </patternFill>
      </fill>
    </dxf>
    <dxf>
      <font>
        <color theme="5"/>
      </font>
    </dxf>
    <dxf>
      <font>
        <color rgb="FFFF0000"/>
      </font>
    </dxf>
    <dxf>
      <font>
        <color rgb="FFFF0000"/>
      </font>
    </dxf>
    <dxf>
      <font>
        <color rgb="FF00B050"/>
      </font>
    </dxf>
    <dxf>
      <font>
        <color rgb="FF00B050"/>
      </font>
    </dxf>
    <dxf>
      <font>
        <color rgb="FFC28014"/>
      </font>
      <fill>
        <patternFill>
          <bgColor rgb="FFFFFF99"/>
        </patternFill>
      </fill>
    </dxf>
    <dxf>
      <font>
        <color theme="5"/>
      </font>
    </dxf>
    <dxf>
      <font>
        <color rgb="FF00B050"/>
      </font>
    </dxf>
    <dxf>
      <font>
        <color rgb="FF00B050"/>
      </font>
    </dxf>
    <dxf>
      <font>
        <color rgb="FFC28014"/>
      </font>
      <fill>
        <patternFill>
          <bgColor rgb="FFFFFF99"/>
        </patternFill>
      </fill>
    </dxf>
    <dxf>
      <font>
        <color theme="5"/>
      </font>
    </dxf>
    <dxf>
      <font>
        <color rgb="FFC28014"/>
      </font>
      <fill>
        <patternFill>
          <bgColor rgb="FFFFFF99"/>
        </patternFill>
      </fill>
    </dxf>
    <dxf>
      <font>
        <color theme="5"/>
      </font>
    </dxf>
    <dxf>
      <font>
        <color rgb="FF00B050"/>
      </font>
    </dxf>
    <dxf>
      <font>
        <color rgb="FFFF0000"/>
      </font>
    </dxf>
    <dxf>
      <numFmt numFmtId="19" formatCode="m/d/yyyy"/>
    </dxf>
    <dxf>
      <numFmt numFmtId="0" formatCode="General"/>
    </dxf>
    <dxf>
      <numFmt numFmtId="34" formatCode="_(&quot;$&quot;* #,##0.00_);_(&quot;$&quot;* \(#,##0.00\);_(&quot;$&quot;* &quot;-&quot;??_);_(@_)"/>
    </dxf>
    <dxf>
      <numFmt numFmtId="34" formatCode="_(&quot;$&quot;* #,##0.00_);_(&quot;$&quot;* \(#,##0.00\);_(&quot;$&quot;* &quot;-&quot;??_);_(@_)"/>
    </dxf>
    <dxf>
      <numFmt numFmtId="19" formatCode="m/d/yyyy"/>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i val="0"/>
        <color theme="0"/>
        <name val="Calibri"/>
        <family val="2"/>
        <scheme val="none"/>
      </font>
      <fill>
        <patternFill>
          <bgColor rgb="FF1B3C57"/>
        </patternFill>
      </fill>
      <border diagonalUp="0" diagonalDown="0">
        <left/>
        <right/>
        <top/>
        <bottom/>
        <vertical/>
        <horizontal/>
      </border>
    </dxf>
    <dxf>
      <font>
        <b/>
        <i val="0"/>
        <color theme="0"/>
        <name val="Calibri"/>
        <family val="2"/>
        <scheme val="none"/>
      </font>
      <fill>
        <patternFill>
          <bgColor rgb="FF1B3C57"/>
        </patternFill>
      </fill>
      <border diagonalUp="0" diagonalDown="0">
        <left/>
        <right/>
        <top/>
        <bottom/>
        <vertical/>
        <horizontal/>
      </border>
    </dxf>
  </dxfs>
  <tableStyles count="1" defaultTableStyle="TableStyleMedium2" defaultPivotStyle="PivotStyleLight16">
    <tableStyle name="SlicerStyleLight1 2" pivot="0" table="0" count="10" xr9:uid="{0D3DF451-33BB-4C79-9F42-498D26EAD5EC}">
      <tableStyleElement type="wholeTable" dxfId="33"/>
      <tableStyleElement type="headerRow" dxfId="32"/>
    </tableStyle>
  </tableStyles>
  <colors>
    <mruColors>
      <color rgb="FFFF555A"/>
      <color rgb="FF1B3C57"/>
      <color rgb="FFFFFF99"/>
      <color rgb="FFC28014"/>
      <color rgb="FFCCA20A"/>
      <color rgb="FFF4C720"/>
      <color rgb="FFFFCC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name val="Calibri"/>
            <family val="2"/>
            <scheme val="none"/>
          </font>
          <fill>
            <patternFill patternType="solid">
              <fgColor theme="4" tint="0.59999389629810485"/>
              <bgColor rgb="FF1B3C57"/>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theme="0"/>
            <name val="Calibri"/>
            <family val="2"/>
            <scheme val="none"/>
          </font>
          <fill>
            <patternFill patternType="solid">
              <fgColor rgb="FFFFFFFF"/>
              <bgColor rgb="FF1B3C57"/>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Total Spend by Account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100664957296043"/>
          <c:y val="0.16614412560132111"/>
          <c:w val="0.5654207052063065"/>
          <c:h val="0.74415551779431821"/>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9098-435F-8A13-C2FA30314D42}"/>
              </c:ext>
            </c:extLst>
          </c:dPt>
          <c:dPt>
            <c:idx val="1"/>
            <c:bubble3D val="0"/>
            <c:spPr>
              <a:solidFill>
                <a:schemeClr val="accent2"/>
              </a:solidFill>
              <a:ln w="19050">
                <a:noFill/>
              </a:ln>
              <a:effectLst/>
            </c:spPr>
            <c:extLst>
              <c:ext xmlns:c16="http://schemas.microsoft.com/office/drawing/2014/chart" uri="{C3380CC4-5D6E-409C-BE32-E72D297353CC}">
                <c16:uniqueId val="{00000003-9098-435F-8A13-C2FA30314D4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Table'!$D$23:$D$24</c:f>
              <c:strCache>
                <c:ptCount val="2"/>
                <c:pt idx="0">
                  <c:v>Checking</c:v>
                </c:pt>
                <c:pt idx="1">
                  <c:v>Credit</c:v>
                </c:pt>
              </c:strCache>
            </c:strRef>
          </c:cat>
          <c:val>
            <c:numRef>
              <c:f>'Pivot Table'!$E$23:$E$24</c:f>
              <c:numCache>
                <c:formatCode>_("$"* #,##0_);_("$"* \(#,##0\);_("$"* "-"??_);_(@_)</c:formatCode>
                <c:ptCount val="2"/>
                <c:pt idx="0">
                  <c:v>11497.28</c:v>
                </c:pt>
                <c:pt idx="1">
                  <c:v>13535.200000000003</c:v>
                </c:pt>
              </c:numCache>
            </c:numRef>
          </c:val>
          <c:extLst>
            <c:ext xmlns:c16="http://schemas.microsoft.com/office/drawing/2014/chart" uri="{C3380CC4-5D6E-409C-BE32-E72D297353CC}">
              <c16:uniqueId val="{00000004-9098-435F-8A13-C2FA30314D42}"/>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Total Income vs.</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Expenses</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3408-42A0-B7DD-061FD6138C89}"/>
              </c:ext>
            </c:extLst>
          </c:dPt>
          <c:dPt>
            <c:idx val="1"/>
            <c:invertIfNegative val="0"/>
            <c:bubble3D val="0"/>
            <c:spPr>
              <a:solidFill>
                <a:srgbClr val="FF0000"/>
              </a:solidFill>
              <a:ln>
                <a:noFill/>
              </a:ln>
              <a:effectLst/>
            </c:spPr>
            <c:extLst>
              <c:ext xmlns:c16="http://schemas.microsoft.com/office/drawing/2014/chart" uri="{C3380CC4-5D6E-409C-BE32-E72D297353CC}">
                <c16:uniqueId val="{00000001-3408-42A0-B7DD-061FD6138C89}"/>
              </c:ext>
            </c:extLst>
          </c:dPt>
          <c:dLbls>
            <c:dLbl>
              <c:idx val="1"/>
              <c:layout>
                <c:manualLayout>
                  <c:x val="-4.6285360163312922E-3"/>
                  <c:y val="-4.32220017005191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08-42A0-B7DD-061FD6138C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Table'!$D$30:$D$31</c:f>
              <c:strCache>
                <c:ptCount val="2"/>
                <c:pt idx="0">
                  <c:v>Income</c:v>
                </c:pt>
                <c:pt idx="1">
                  <c:v>Expenses</c:v>
                </c:pt>
              </c:strCache>
            </c:strRef>
          </c:cat>
          <c:val>
            <c:numRef>
              <c:f>'Pivot Table'!$E$30:$E$31</c:f>
              <c:numCache>
                <c:formatCode>_("$"* #,##0_);_("$"* \(#,##0\);_("$"* "-"??_);_(@_)</c:formatCode>
                <c:ptCount val="2"/>
                <c:pt idx="0">
                  <c:v>28370.200000000004</c:v>
                </c:pt>
                <c:pt idx="1">
                  <c:v>-25032.480000000003</c:v>
                </c:pt>
              </c:numCache>
            </c:numRef>
          </c:val>
          <c:extLst>
            <c:ext xmlns:c16="http://schemas.microsoft.com/office/drawing/2014/chart" uri="{C3380CC4-5D6E-409C-BE32-E72D297353CC}">
              <c16:uniqueId val="{00000000-3408-42A0-B7DD-061FD6138C89}"/>
            </c:ext>
          </c:extLst>
        </c:ser>
        <c:dLbls>
          <c:dLblPos val="outEnd"/>
          <c:showLegendKey val="0"/>
          <c:showVal val="1"/>
          <c:showCatName val="0"/>
          <c:showSerName val="0"/>
          <c:showPercent val="0"/>
          <c:showBubbleSize val="0"/>
        </c:dLbls>
        <c:gapWidth val="182"/>
        <c:axId val="194853711"/>
        <c:axId val="194878671"/>
      </c:barChart>
      <c:catAx>
        <c:axId val="19485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4878671"/>
        <c:crosses val="autoZero"/>
        <c:auto val="1"/>
        <c:lblAlgn val="ctr"/>
        <c:lblOffset val="100"/>
        <c:noMultiLvlLbl val="0"/>
      </c:catAx>
      <c:valAx>
        <c:axId val="194878671"/>
        <c:scaling>
          <c:orientation val="minMax"/>
        </c:scaling>
        <c:delete val="1"/>
        <c:axPos val="b"/>
        <c:numFmt formatCode="_(&quot;$&quot;* #,##0_);_(&quot;$&quot;* \(#,##0\);_(&quot;$&quot;* &quot;-&quot;??_);_(@_)" sourceLinked="1"/>
        <c:majorTickMark val="none"/>
        <c:minorTickMark val="none"/>
        <c:tickLblPos val="nextTo"/>
        <c:crossAx val="1948537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Monthly Net Income vs Expenses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'Pivot Table'!$H$22</c:f>
              <c:strCache>
                <c:ptCount val="1"/>
                <c:pt idx="0">
                  <c:v>Expense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Table'!$G$23:$G$34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Table'!$H$23:$H$34</c:f>
              <c:numCache>
                <c:formatCode>0.0,"k"</c:formatCode>
                <c:ptCount val="12"/>
                <c:pt idx="0">
                  <c:v>1258.6400000000001</c:v>
                </c:pt>
                <c:pt idx="1">
                  <c:v>951.75</c:v>
                </c:pt>
                <c:pt idx="2">
                  <c:v>1650.0899999999995</c:v>
                </c:pt>
                <c:pt idx="3">
                  <c:v>989.64999999999986</c:v>
                </c:pt>
                <c:pt idx="4">
                  <c:v>939.2800000000002</c:v>
                </c:pt>
                <c:pt idx="5">
                  <c:v>1091.4799999999998</c:v>
                </c:pt>
                <c:pt idx="6">
                  <c:v>733.11999999999989</c:v>
                </c:pt>
                <c:pt idx="7">
                  <c:v>1431.2599999999995</c:v>
                </c:pt>
                <c:pt idx="8">
                  <c:v>1711.22</c:v>
                </c:pt>
                <c:pt idx="9">
                  <c:v>539.55000000000018</c:v>
                </c:pt>
                <c:pt idx="10">
                  <c:v>1174.8</c:v>
                </c:pt>
                <c:pt idx="11">
                  <c:v>1064.3599999999999</c:v>
                </c:pt>
              </c:numCache>
            </c:numRef>
          </c:val>
          <c:extLst>
            <c:ext xmlns:c16="http://schemas.microsoft.com/office/drawing/2014/chart" uri="{C3380CC4-5D6E-409C-BE32-E72D297353CC}">
              <c16:uniqueId val="{00000000-27F5-44E8-B323-1E917E01B40A}"/>
            </c:ext>
          </c:extLst>
        </c:ser>
        <c:ser>
          <c:idx val="1"/>
          <c:order val="1"/>
          <c:tx>
            <c:strRef>
              <c:f>'Pivot Table'!$I$22</c:f>
              <c:strCache>
                <c:ptCount val="1"/>
                <c:pt idx="0">
                  <c:v>Income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Table'!$G$23:$G$34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Table'!$I$23:$I$34</c:f>
              <c:numCache>
                <c:formatCode>0.0,"k"</c:formatCode>
                <c:ptCount val="12"/>
                <c:pt idx="0">
                  <c:v>2471.81</c:v>
                </c:pt>
                <c:pt idx="1">
                  <c:v>2021.45</c:v>
                </c:pt>
                <c:pt idx="2">
                  <c:v>1243.4000000000001</c:v>
                </c:pt>
                <c:pt idx="3">
                  <c:v>882.1</c:v>
                </c:pt>
                <c:pt idx="4">
                  <c:v>1864.77</c:v>
                </c:pt>
                <c:pt idx="5">
                  <c:v>1418.96</c:v>
                </c:pt>
                <c:pt idx="6">
                  <c:v>1903.31</c:v>
                </c:pt>
                <c:pt idx="7">
                  <c:v>2136.34</c:v>
                </c:pt>
                <c:pt idx="8">
                  <c:v>13275.2</c:v>
                </c:pt>
                <c:pt idx="9">
                  <c:v>1065.8599999999999</c:v>
                </c:pt>
                <c:pt idx="10">
                  <c:v>45</c:v>
                </c:pt>
                <c:pt idx="11">
                  <c:v>42</c:v>
                </c:pt>
              </c:numCache>
            </c:numRef>
          </c:val>
          <c:extLst>
            <c:ext xmlns:c16="http://schemas.microsoft.com/office/drawing/2014/chart" uri="{C3380CC4-5D6E-409C-BE32-E72D297353CC}">
              <c16:uniqueId val="{00000001-27F5-44E8-B323-1E917E01B40A}"/>
            </c:ext>
          </c:extLst>
        </c:ser>
        <c:dLbls>
          <c:dLblPos val="outEnd"/>
          <c:showLegendKey val="0"/>
          <c:showVal val="1"/>
          <c:showCatName val="0"/>
          <c:showSerName val="0"/>
          <c:showPercent val="0"/>
          <c:showBubbleSize val="0"/>
        </c:dLbls>
        <c:gapWidth val="219"/>
        <c:overlap val="-27"/>
        <c:axId val="421666223"/>
        <c:axId val="421668143"/>
      </c:barChart>
      <c:catAx>
        <c:axId val="42166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21668143"/>
        <c:crosses val="autoZero"/>
        <c:auto val="1"/>
        <c:lblAlgn val="ctr"/>
        <c:lblOffset val="100"/>
        <c:noMultiLvlLbl val="0"/>
      </c:catAx>
      <c:valAx>
        <c:axId val="421668143"/>
        <c:scaling>
          <c:orientation val="minMax"/>
        </c:scaling>
        <c:delete val="1"/>
        <c:axPos val="l"/>
        <c:numFmt formatCode="0.0,&quot;k&quot;" sourceLinked="1"/>
        <c:majorTickMark val="none"/>
        <c:minorTickMark val="none"/>
        <c:tickLblPos val="nextTo"/>
        <c:crossAx val="4216662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All Expenses by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bar"/>
        <c:grouping val="clustered"/>
        <c:varyColors val="0"/>
        <c:ser>
          <c:idx val="0"/>
          <c:order val="0"/>
          <c:spPr>
            <a:solidFill>
              <a:srgbClr val="FF55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Table'!$T$22:$T$31</c:f>
              <c:strCache>
                <c:ptCount val="10"/>
                <c:pt idx="0">
                  <c:v>Concert</c:v>
                </c:pt>
                <c:pt idx="1">
                  <c:v>Eating out</c:v>
                </c:pt>
                <c:pt idx="2">
                  <c:v>Games</c:v>
                </c:pt>
                <c:pt idx="3">
                  <c:v>Gas</c:v>
                </c:pt>
                <c:pt idx="4">
                  <c:v>Groceries</c:v>
                </c:pt>
                <c:pt idx="5">
                  <c:v>Outing</c:v>
                </c:pt>
                <c:pt idx="6">
                  <c:v>Pokemon</c:v>
                </c:pt>
                <c:pt idx="7">
                  <c:v>Savings</c:v>
                </c:pt>
                <c:pt idx="8">
                  <c:v>Subscription</c:v>
                </c:pt>
                <c:pt idx="9">
                  <c:v>ZELLE</c:v>
                </c:pt>
              </c:strCache>
            </c:strRef>
          </c:cat>
          <c:val>
            <c:numRef>
              <c:f>'Pivot Table'!$U$22:$U$31</c:f>
              <c:numCache>
                <c:formatCode>_("$"* #,##0_);_("$"* \(#,##0\);_("$"* "-"??_);_(@_)</c:formatCode>
                <c:ptCount val="10"/>
                <c:pt idx="0">
                  <c:v>1653.4699999999998</c:v>
                </c:pt>
                <c:pt idx="1">
                  <c:v>2439.0700000000002</c:v>
                </c:pt>
                <c:pt idx="2">
                  <c:v>66.12</c:v>
                </c:pt>
                <c:pt idx="3">
                  <c:v>1583.3800000000003</c:v>
                </c:pt>
                <c:pt idx="4">
                  <c:v>4400.04</c:v>
                </c:pt>
                <c:pt idx="5">
                  <c:v>593.33999999999992</c:v>
                </c:pt>
                <c:pt idx="6">
                  <c:v>2503.2899999999995</c:v>
                </c:pt>
                <c:pt idx="7">
                  <c:v>2044.2400000000002</c:v>
                </c:pt>
                <c:pt idx="8">
                  <c:v>296.48999999999995</c:v>
                </c:pt>
                <c:pt idx="9">
                  <c:v>11497.28</c:v>
                </c:pt>
              </c:numCache>
            </c:numRef>
          </c:val>
          <c:extLst>
            <c:ext xmlns:c16="http://schemas.microsoft.com/office/drawing/2014/chart" uri="{C3380CC4-5D6E-409C-BE32-E72D297353CC}">
              <c16:uniqueId val="{00000000-5F82-415C-AF9A-A647E717269F}"/>
            </c:ext>
          </c:extLst>
        </c:ser>
        <c:dLbls>
          <c:dLblPos val="outEnd"/>
          <c:showLegendKey val="0"/>
          <c:showVal val="1"/>
          <c:showCatName val="0"/>
          <c:showSerName val="0"/>
          <c:showPercent val="0"/>
          <c:showBubbleSize val="0"/>
        </c:dLbls>
        <c:gapWidth val="10"/>
        <c:overlap val="100"/>
        <c:axId val="176541631"/>
        <c:axId val="838395952"/>
      </c:barChart>
      <c:catAx>
        <c:axId val="17654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38395952"/>
        <c:crosses val="autoZero"/>
        <c:auto val="1"/>
        <c:lblAlgn val="ctr"/>
        <c:lblOffset val="100"/>
        <c:noMultiLvlLbl val="0"/>
      </c:catAx>
      <c:valAx>
        <c:axId val="838395952"/>
        <c:scaling>
          <c:orientation val="minMax"/>
        </c:scaling>
        <c:delete val="1"/>
        <c:axPos val="b"/>
        <c:numFmt formatCode="_(&quot;$&quot;* #,##0_);_(&quot;$&quot;* \(#,##0\);_(&quot;$&quot;* &quot;-&quot;??_);_(@_)" sourceLinked="1"/>
        <c:majorTickMark val="none"/>
        <c:minorTickMark val="none"/>
        <c:tickLblPos val="nextTo"/>
        <c:crossAx val="1765416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Expenses by Category</cx:v>
        </cx:txData>
      </cx:tx>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4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Expenses by Category</a:t>
          </a:r>
        </a:p>
      </cx:txPr>
    </cx:title>
    <cx:plotArea>
      <cx:plotAreaRegion>
        <cx:series layoutId="waterfall" uniqueId="{694CE385-36A3-4C20-A9BA-7F9E5D123B27}">
          <cx:dataLabels pos="outEnd">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a:pPr>
                  <a:r>
                    <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$28,370 </a:t>
                  </a:r>
                </a:p>
              </cx:txPr>
            </cx:dataLabel>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32558</xdr:colOff>
      <xdr:row>0</xdr:row>
      <xdr:rowOff>68580</xdr:rowOff>
    </xdr:from>
    <xdr:to>
      <xdr:col>22</xdr:col>
      <xdr:colOff>565958</xdr:colOff>
      <xdr:row>38</xdr:row>
      <xdr:rowOff>82435</xdr:rowOff>
    </xdr:to>
    <xdr:sp macro="" textlink="">
      <xdr:nvSpPr>
        <xdr:cNvPr id="2" name="Rectangle: Rounded Corners 1">
          <a:extLst>
            <a:ext uri="{FF2B5EF4-FFF2-40B4-BE49-F238E27FC236}">
              <a16:creationId xmlns:a16="http://schemas.microsoft.com/office/drawing/2014/main" id="{BDA44F63-B933-EECD-D58F-BBD5D8F26015}"/>
            </a:ext>
          </a:extLst>
        </xdr:cNvPr>
        <xdr:cNvSpPr/>
      </xdr:nvSpPr>
      <xdr:spPr>
        <a:xfrm>
          <a:off x="32558" y="68580"/>
          <a:ext cx="13944600" cy="6858000"/>
        </a:xfrm>
        <a:prstGeom prst="roundRect">
          <a:avLst>
            <a:gd name="adj" fmla="val 167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175260</xdr:colOff>
      <xdr:row>0</xdr:row>
      <xdr:rowOff>175260</xdr:rowOff>
    </xdr:from>
    <xdr:to>
      <xdr:col>3</xdr:col>
      <xdr:colOff>60960</xdr:colOff>
      <xdr:row>5</xdr:row>
      <xdr:rowOff>114300</xdr:rowOff>
    </xdr:to>
    <xdr:sp macro="" textlink="">
      <xdr:nvSpPr>
        <xdr:cNvPr id="3" name="Rectangle: Rounded Corners 2">
          <a:extLst>
            <a:ext uri="{FF2B5EF4-FFF2-40B4-BE49-F238E27FC236}">
              <a16:creationId xmlns:a16="http://schemas.microsoft.com/office/drawing/2014/main" id="{B159E001-666B-9E1E-43D2-340CDD60863C}"/>
            </a:ext>
          </a:extLst>
        </xdr:cNvPr>
        <xdr:cNvSpPr/>
      </xdr:nvSpPr>
      <xdr:spPr>
        <a:xfrm>
          <a:off x="175260" y="175260"/>
          <a:ext cx="1714500" cy="853440"/>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a:latin typeface="Calibri" panose="020F0502020204030204" pitchFamily="34" charset="0"/>
              <a:ea typeface="Calibri" panose="020F0502020204030204" pitchFamily="34" charset="0"/>
              <a:cs typeface="Calibri" panose="020F0502020204030204" pitchFamily="34" charset="0"/>
            </a:rPr>
            <a:t>2025</a:t>
          </a:r>
        </a:p>
      </xdr:txBody>
    </xdr:sp>
    <xdr:clientData/>
  </xdr:twoCellAnchor>
  <xdr:twoCellAnchor>
    <xdr:from>
      <xdr:col>3</xdr:col>
      <xdr:colOff>152400</xdr:colOff>
      <xdr:row>0</xdr:row>
      <xdr:rowOff>175260</xdr:rowOff>
    </xdr:from>
    <xdr:to>
      <xdr:col>22</xdr:col>
      <xdr:colOff>408709</xdr:colOff>
      <xdr:row>5</xdr:row>
      <xdr:rowOff>114300</xdr:rowOff>
    </xdr:to>
    <xdr:sp macro="" textlink="">
      <xdr:nvSpPr>
        <xdr:cNvPr id="5" name="Rectangle: Rounded Corners 4">
          <a:extLst>
            <a:ext uri="{FF2B5EF4-FFF2-40B4-BE49-F238E27FC236}">
              <a16:creationId xmlns:a16="http://schemas.microsoft.com/office/drawing/2014/main" id="{A211C799-28EF-4D50-906B-07E9510362AA}"/>
            </a:ext>
          </a:extLst>
        </xdr:cNvPr>
        <xdr:cNvSpPr/>
      </xdr:nvSpPr>
      <xdr:spPr>
        <a:xfrm>
          <a:off x="1981200" y="175260"/>
          <a:ext cx="11838709" cy="839585"/>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FINANCE EXPENSES DASHBOARD</a:t>
          </a:r>
          <a:r>
            <a:rPr lang="en-US" sz="4000" b="1" baseline="0">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 </a:t>
          </a:r>
          <a:endParaRPr lang="en-US" sz="4000" b="1">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160020</xdr:colOff>
      <xdr:row>6</xdr:row>
      <xdr:rowOff>30480</xdr:rowOff>
    </xdr:from>
    <xdr:to>
      <xdr:col>3</xdr:col>
      <xdr:colOff>45720</xdr:colOff>
      <xdr:row>37</xdr:row>
      <xdr:rowOff>137160</xdr:rowOff>
    </xdr:to>
    <xdr:sp macro="" textlink="">
      <xdr:nvSpPr>
        <xdr:cNvPr id="6" name="Rectangle: Rounded Corners 5">
          <a:extLst>
            <a:ext uri="{FF2B5EF4-FFF2-40B4-BE49-F238E27FC236}">
              <a16:creationId xmlns:a16="http://schemas.microsoft.com/office/drawing/2014/main" id="{06D41483-010A-4F8C-AAF8-AE63BA3B904B}"/>
            </a:ext>
          </a:extLst>
        </xdr:cNvPr>
        <xdr:cNvSpPr/>
      </xdr:nvSpPr>
      <xdr:spPr>
        <a:xfrm>
          <a:off x="160020" y="1127760"/>
          <a:ext cx="1714500" cy="5775960"/>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167640</xdr:colOff>
      <xdr:row>6</xdr:row>
      <xdr:rowOff>68580</xdr:rowOff>
    </xdr:from>
    <xdr:to>
      <xdr:col>6</xdr:col>
      <xdr:colOff>53340</xdr:colOff>
      <xdr:row>11</xdr:row>
      <xdr:rowOff>7620</xdr:rowOff>
    </xdr:to>
    <xdr:sp macro="" textlink="">
      <xdr:nvSpPr>
        <xdr:cNvPr id="7" name="Rectangle: Rounded Corners 6">
          <a:extLst>
            <a:ext uri="{FF2B5EF4-FFF2-40B4-BE49-F238E27FC236}">
              <a16:creationId xmlns:a16="http://schemas.microsoft.com/office/drawing/2014/main" id="{C3FF570C-7639-4A9B-8B19-A2CD5D002BBD}"/>
            </a:ext>
          </a:extLst>
        </xdr:cNvPr>
        <xdr:cNvSpPr/>
      </xdr:nvSpPr>
      <xdr:spPr>
        <a:xfrm>
          <a:off x="1996440" y="1165860"/>
          <a:ext cx="1714500" cy="853440"/>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220980</xdr:colOff>
      <xdr:row>6</xdr:row>
      <xdr:rowOff>68580</xdr:rowOff>
    </xdr:from>
    <xdr:to>
      <xdr:col>9</xdr:col>
      <xdr:colOff>106680</xdr:colOff>
      <xdr:row>11</xdr:row>
      <xdr:rowOff>7620</xdr:rowOff>
    </xdr:to>
    <xdr:sp macro="" textlink="">
      <xdr:nvSpPr>
        <xdr:cNvPr id="8" name="Rectangle: Rounded Corners 7">
          <a:extLst>
            <a:ext uri="{FF2B5EF4-FFF2-40B4-BE49-F238E27FC236}">
              <a16:creationId xmlns:a16="http://schemas.microsoft.com/office/drawing/2014/main" id="{D069B605-6DF9-4613-9A63-4FDC8126B89C}"/>
            </a:ext>
          </a:extLst>
        </xdr:cNvPr>
        <xdr:cNvSpPr/>
      </xdr:nvSpPr>
      <xdr:spPr>
        <a:xfrm>
          <a:off x="3878580" y="1165860"/>
          <a:ext cx="1714500" cy="853440"/>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297180</xdr:colOff>
      <xdr:row>6</xdr:row>
      <xdr:rowOff>91440</xdr:rowOff>
    </xdr:from>
    <xdr:to>
      <xdr:col>12</xdr:col>
      <xdr:colOff>182880</xdr:colOff>
      <xdr:row>11</xdr:row>
      <xdr:rowOff>30480</xdr:rowOff>
    </xdr:to>
    <xdr:sp macro="" textlink="">
      <xdr:nvSpPr>
        <xdr:cNvPr id="9" name="Rectangle: Rounded Corners 8">
          <a:extLst>
            <a:ext uri="{FF2B5EF4-FFF2-40B4-BE49-F238E27FC236}">
              <a16:creationId xmlns:a16="http://schemas.microsoft.com/office/drawing/2014/main" id="{8527B953-D389-4EB6-A3E0-2B5B040715B3}"/>
            </a:ext>
          </a:extLst>
        </xdr:cNvPr>
        <xdr:cNvSpPr/>
      </xdr:nvSpPr>
      <xdr:spPr>
        <a:xfrm>
          <a:off x="5783580" y="1188720"/>
          <a:ext cx="1714500" cy="853440"/>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396240</xdr:colOff>
      <xdr:row>6</xdr:row>
      <xdr:rowOff>114300</xdr:rowOff>
    </xdr:from>
    <xdr:to>
      <xdr:col>15</xdr:col>
      <xdr:colOff>281940</xdr:colOff>
      <xdr:row>11</xdr:row>
      <xdr:rowOff>53340</xdr:rowOff>
    </xdr:to>
    <xdr:sp macro="" textlink="">
      <xdr:nvSpPr>
        <xdr:cNvPr id="10" name="Rectangle: Rounded Corners 9">
          <a:extLst>
            <a:ext uri="{FF2B5EF4-FFF2-40B4-BE49-F238E27FC236}">
              <a16:creationId xmlns:a16="http://schemas.microsoft.com/office/drawing/2014/main" id="{D47BEA53-6E31-4613-B7AD-4D48CDD9E967}"/>
            </a:ext>
          </a:extLst>
        </xdr:cNvPr>
        <xdr:cNvSpPr/>
      </xdr:nvSpPr>
      <xdr:spPr>
        <a:xfrm>
          <a:off x="7711440" y="1211580"/>
          <a:ext cx="1714500" cy="853440"/>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175260</xdr:colOff>
      <xdr:row>11</xdr:row>
      <xdr:rowOff>175260</xdr:rowOff>
    </xdr:from>
    <xdr:to>
      <xdr:col>8</xdr:col>
      <xdr:colOff>434340</xdr:colOff>
      <xdr:row>25</xdr:row>
      <xdr:rowOff>76200</xdr:rowOff>
    </xdr:to>
    <xdr:sp macro="" textlink="">
      <xdr:nvSpPr>
        <xdr:cNvPr id="11" name="Rectangle: Rounded Corners 10">
          <a:extLst>
            <a:ext uri="{FF2B5EF4-FFF2-40B4-BE49-F238E27FC236}">
              <a16:creationId xmlns:a16="http://schemas.microsoft.com/office/drawing/2014/main" id="{CB4A51C3-323D-4D72-805C-8A5CAA9D3CF7}"/>
            </a:ext>
          </a:extLst>
        </xdr:cNvPr>
        <xdr:cNvSpPr/>
      </xdr:nvSpPr>
      <xdr:spPr>
        <a:xfrm>
          <a:off x="2004060" y="2186940"/>
          <a:ext cx="3307080" cy="2461260"/>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182880</xdr:colOff>
      <xdr:row>26</xdr:row>
      <xdr:rowOff>76200</xdr:rowOff>
    </xdr:from>
    <xdr:to>
      <xdr:col>8</xdr:col>
      <xdr:colOff>411480</xdr:colOff>
      <xdr:row>37</xdr:row>
      <xdr:rowOff>106680</xdr:rowOff>
    </xdr:to>
    <xdr:sp macro="" textlink="">
      <xdr:nvSpPr>
        <xdr:cNvPr id="12" name="Rectangle: Rounded Corners 11">
          <a:extLst>
            <a:ext uri="{FF2B5EF4-FFF2-40B4-BE49-F238E27FC236}">
              <a16:creationId xmlns:a16="http://schemas.microsoft.com/office/drawing/2014/main" id="{4826473B-5151-48DC-941F-A14C104CCF47}"/>
            </a:ext>
          </a:extLst>
        </xdr:cNvPr>
        <xdr:cNvSpPr/>
      </xdr:nvSpPr>
      <xdr:spPr>
        <a:xfrm>
          <a:off x="2011680" y="4831080"/>
          <a:ext cx="3276600" cy="2042160"/>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350520</xdr:colOff>
      <xdr:row>6</xdr:row>
      <xdr:rowOff>91440</xdr:rowOff>
    </xdr:from>
    <xdr:to>
      <xdr:col>10</xdr:col>
      <xdr:colOff>381000</xdr:colOff>
      <xdr:row>10</xdr:row>
      <xdr:rowOff>0</xdr:rowOff>
    </xdr:to>
    <xdr:pic>
      <xdr:nvPicPr>
        <xdr:cNvPr id="14" name="Graphic 13" descr="Burger and drink with solid fill">
          <a:extLst>
            <a:ext uri="{FF2B5EF4-FFF2-40B4-BE49-F238E27FC236}">
              <a16:creationId xmlns:a16="http://schemas.microsoft.com/office/drawing/2014/main" id="{8AA164C3-F949-BB7F-A220-9D2FE734B1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36920" y="1188720"/>
          <a:ext cx="640080" cy="640080"/>
        </a:xfrm>
        <a:prstGeom prst="rect">
          <a:avLst/>
        </a:prstGeom>
      </xdr:spPr>
    </xdr:pic>
    <xdr:clientData/>
  </xdr:twoCellAnchor>
  <xdr:twoCellAnchor editAs="oneCell">
    <xdr:from>
      <xdr:col>6</xdr:col>
      <xdr:colOff>373380</xdr:colOff>
      <xdr:row>6</xdr:row>
      <xdr:rowOff>137160</xdr:rowOff>
    </xdr:from>
    <xdr:to>
      <xdr:col>7</xdr:col>
      <xdr:colOff>327660</xdr:colOff>
      <xdr:row>9</xdr:row>
      <xdr:rowOff>152400</xdr:rowOff>
    </xdr:to>
    <xdr:pic>
      <xdr:nvPicPr>
        <xdr:cNvPr id="16" name="Graphic 15" descr="Shopping cart with solid fill">
          <a:extLst>
            <a:ext uri="{FF2B5EF4-FFF2-40B4-BE49-F238E27FC236}">
              <a16:creationId xmlns:a16="http://schemas.microsoft.com/office/drawing/2014/main" id="{C8D1C0E5-B0A8-9EE2-2920-35D5B94455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30980" y="1234440"/>
          <a:ext cx="563880" cy="563880"/>
        </a:xfrm>
        <a:prstGeom prst="rect">
          <a:avLst/>
        </a:prstGeom>
      </xdr:spPr>
    </xdr:pic>
    <xdr:clientData/>
  </xdr:twoCellAnchor>
  <xdr:twoCellAnchor editAs="oneCell">
    <xdr:from>
      <xdr:col>3</xdr:col>
      <xdr:colOff>213360</xdr:colOff>
      <xdr:row>6</xdr:row>
      <xdr:rowOff>106680</xdr:rowOff>
    </xdr:from>
    <xdr:to>
      <xdr:col>4</xdr:col>
      <xdr:colOff>190500</xdr:colOff>
      <xdr:row>9</xdr:row>
      <xdr:rowOff>144780</xdr:rowOff>
    </xdr:to>
    <xdr:pic>
      <xdr:nvPicPr>
        <xdr:cNvPr id="18" name="Graphic 17" descr="Smiling face with solid fill with solid fill">
          <a:extLst>
            <a:ext uri="{FF2B5EF4-FFF2-40B4-BE49-F238E27FC236}">
              <a16:creationId xmlns:a16="http://schemas.microsoft.com/office/drawing/2014/main" id="{FAD5F845-0F6D-C892-4C55-957F8199CD3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42160" y="1203960"/>
          <a:ext cx="586740" cy="586740"/>
        </a:xfrm>
        <a:prstGeom prst="rect">
          <a:avLst/>
        </a:prstGeom>
      </xdr:spPr>
    </xdr:pic>
    <xdr:clientData/>
  </xdr:twoCellAnchor>
  <xdr:twoCellAnchor editAs="oneCell">
    <xdr:from>
      <xdr:col>12</xdr:col>
      <xdr:colOff>457200</xdr:colOff>
      <xdr:row>7</xdr:row>
      <xdr:rowOff>0</xdr:rowOff>
    </xdr:from>
    <xdr:to>
      <xdr:col>13</xdr:col>
      <xdr:colOff>411480</xdr:colOff>
      <xdr:row>10</xdr:row>
      <xdr:rowOff>15240</xdr:rowOff>
    </xdr:to>
    <xdr:pic>
      <xdr:nvPicPr>
        <xdr:cNvPr id="20" name="Graphic 19" descr="Fuel with solid fill">
          <a:extLst>
            <a:ext uri="{FF2B5EF4-FFF2-40B4-BE49-F238E27FC236}">
              <a16:creationId xmlns:a16="http://schemas.microsoft.com/office/drawing/2014/main" id="{3F5DBE1C-9F75-58E6-F43C-DE69BB6A9A7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72400" y="1280160"/>
          <a:ext cx="563880" cy="563880"/>
        </a:xfrm>
        <a:prstGeom prst="rect">
          <a:avLst/>
        </a:prstGeom>
      </xdr:spPr>
    </xdr:pic>
    <xdr:clientData/>
  </xdr:twoCellAnchor>
  <xdr:twoCellAnchor>
    <xdr:from>
      <xdr:col>3</xdr:col>
      <xdr:colOff>365760</xdr:colOff>
      <xdr:row>9</xdr:row>
      <xdr:rowOff>91440</xdr:rowOff>
    </xdr:from>
    <xdr:to>
      <xdr:col>5</xdr:col>
      <xdr:colOff>525780</xdr:colOff>
      <xdr:row>10</xdr:row>
      <xdr:rowOff>160020</xdr:rowOff>
    </xdr:to>
    <xdr:sp macro="" textlink="">
      <xdr:nvSpPr>
        <xdr:cNvPr id="21" name="TextBox 20">
          <a:extLst>
            <a:ext uri="{FF2B5EF4-FFF2-40B4-BE49-F238E27FC236}">
              <a16:creationId xmlns:a16="http://schemas.microsoft.com/office/drawing/2014/main" id="{270D0419-E181-73D0-B37E-D17BF39EC77E}"/>
            </a:ext>
          </a:extLst>
        </xdr:cNvPr>
        <xdr:cNvSpPr txBox="1"/>
      </xdr:nvSpPr>
      <xdr:spPr>
        <a:xfrm>
          <a:off x="2194560" y="1737360"/>
          <a:ext cx="13792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bg1"/>
              </a:solidFill>
              <a:latin typeface="Calibri" panose="020F0502020204030204" pitchFamily="34" charset="0"/>
              <a:ea typeface="Calibri" panose="020F0502020204030204" pitchFamily="34" charset="0"/>
              <a:cs typeface="Calibri" panose="020F0502020204030204" pitchFamily="34" charset="0"/>
            </a:rPr>
            <a:t>Entertainment</a:t>
          </a:r>
        </a:p>
      </xdr:txBody>
    </xdr:sp>
    <xdr:clientData/>
  </xdr:twoCellAnchor>
  <xdr:twoCellAnchor>
    <xdr:from>
      <xdr:col>6</xdr:col>
      <xdr:colOff>381000</xdr:colOff>
      <xdr:row>9</xdr:row>
      <xdr:rowOff>91440</xdr:rowOff>
    </xdr:from>
    <xdr:to>
      <xdr:col>8</xdr:col>
      <xdr:colOff>441960</xdr:colOff>
      <xdr:row>10</xdr:row>
      <xdr:rowOff>160020</xdr:rowOff>
    </xdr:to>
    <xdr:sp macro="" textlink="">
      <xdr:nvSpPr>
        <xdr:cNvPr id="22" name="TextBox 21">
          <a:extLst>
            <a:ext uri="{FF2B5EF4-FFF2-40B4-BE49-F238E27FC236}">
              <a16:creationId xmlns:a16="http://schemas.microsoft.com/office/drawing/2014/main" id="{8237DB5E-B800-4F62-9270-139C561C3E57}"/>
            </a:ext>
          </a:extLst>
        </xdr:cNvPr>
        <xdr:cNvSpPr txBox="1"/>
      </xdr:nvSpPr>
      <xdr:spPr>
        <a:xfrm>
          <a:off x="4038600" y="1737360"/>
          <a:ext cx="1280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bg1"/>
              </a:solidFill>
              <a:latin typeface="Calibri" panose="020F0502020204030204" pitchFamily="34" charset="0"/>
              <a:ea typeface="Calibri" panose="020F0502020204030204" pitchFamily="34" charset="0"/>
              <a:cs typeface="Calibri" panose="020F0502020204030204" pitchFamily="34" charset="0"/>
            </a:rPr>
            <a:t>Groceries</a:t>
          </a:r>
        </a:p>
      </xdr:txBody>
    </xdr:sp>
    <xdr:clientData/>
  </xdr:twoCellAnchor>
  <xdr:twoCellAnchor>
    <xdr:from>
      <xdr:col>9</xdr:col>
      <xdr:colOff>464820</xdr:colOff>
      <xdr:row>9</xdr:row>
      <xdr:rowOff>114300</xdr:rowOff>
    </xdr:from>
    <xdr:to>
      <xdr:col>12</xdr:col>
      <xdr:colOff>30480</xdr:colOff>
      <xdr:row>11</xdr:row>
      <xdr:rowOff>0</xdr:rowOff>
    </xdr:to>
    <xdr:sp macro="" textlink="">
      <xdr:nvSpPr>
        <xdr:cNvPr id="23" name="TextBox 22">
          <a:extLst>
            <a:ext uri="{FF2B5EF4-FFF2-40B4-BE49-F238E27FC236}">
              <a16:creationId xmlns:a16="http://schemas.microsoft.com/office/drawing/2014/main" id="{2AEE0A2D-13CC-4521-8E80-3AEF057278C9}"/>
            </a:ext>
          </a:extLst>
        </xdr:cNvPr>
        <xdr:cNvSpPr txBox="1"/>
      </xdr:nvSpPr>
      <xdr:spPr>
        <a:xfrm>
          <a:off x="5951220" y="1760220"/>
          <a:ext cx="13944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bg1"/>
              </a:solidFill>
              <a:latin typeface="Calibri" panose="020F0502020204030204" pitchFamily="34" charset="0"/>
              <a:ea typeface="Calibri" panose="020F0502020204030204" pitchFamily="34" charset="0"/>
              <a:cs typeface="Calibri" panose="020F0502020204030204" pitchFamily="34" charset="0"/>
            </a:rPr>
            <a:t>Food</a:t>
          </a:r>
        </a:p>
      </xdr:txBody>
    </xdr:sp>
    <xdr:clientData/>
  </xdr:twoCellAnchor>
  <xdr:twoCellAnchor>
    <xdr:from>
      <xdr:col>13</xdr:col>
      <xdr:colOff>0</xdr:colOff>
      <xdr:row>9</xdr:row>
      <xdr:rowOff>129540</xdr:rowOff>
    </xdr:from>
    <xdr:to>
      <xdr:col>15</xdr:col>
      <xdr:colOff>60960</xdr:colOff>
      <xdr:row>11</xdr:row>
      <xdr:rowOff>15240</xdr:rowOff>
    </xdr:to>
    <xdr:sp macro="" textlink="">
      <xdr:nvSpPr>
        <xdr:cNvPr id="24" name="TextBox 23">
          <a:extLst>
            <a:ext uri="{FF2B5EF4-FFF2-40B4-BE49-F238E27FC236}">
              <a16:creationId xmlns:a16="http://schemas.microsoft.com/office/drawing/2014/main" id="{8CB0AB78-AD16-4475-92B3-533D25430FCF}"/>
            </a:ext>
          </a:extLst>
        </xdr:cNvPr>
        <xdr:cNvSpPr txBox="1"/>
      </xdr:nvSpPr>
      <xdr:spPr>
        <a:xfrm>
          <a:off x="7924800" y="1775460"/>
          <a:ext cx="1280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bg1"/>
              </a:solidFill>
              <a:latin typeface="Calibri" panose="020F0502020204030204" pitchFamily="34" charset="0"/>
              <a:ea typeface="Calibri" panose="020F0502020204030204" pitchFamily="34" charset="0"/>
              <a:cs typeface="Calibri" panose="020F0502020204030204" pitchFamily="34" charset="0"/>
            </a:rPr>
            <a:t>Gas</a:t>
          </a:r>
        </a:p>
      </xdr:txBody>
    </xdr:sp>
    <xdr:clientData/>
  </xdr:twoCellAnchor>
  <xdr:twoCellAnchor>
    <xdr:from>
      <xdr:col>4</xdr:col>
      <xdr:colOff>167640</xdr:colOff>
      <xdr:row>7</xdr:row>
      <xdr:rowOff>38100</xdr:rowOff>
    </xdr:from>
    <xdr:to>
      <xdr:col>5</xdr:col>
      <xdr:colOff>518160</xdr:colOff>
      <xdr:row>9</xdr:row>
      <xdr:rowOff>15240</xdr:rowOff>
    </xdr:to>
    <xdr:sp macro="" textlink="'Pivot Table'!B23">
      <xdr:nvSpPr>
        <xdr:cNvPr id="25" name="TextBox 24">
          <a:extLst>
            <a:ext uri="{FF2B5EF4-FFF2-40B4-BE49-F238E27FC236}">
              <a16:creationId xmlns:a16="http://schemas.microsoft.com/office/drawing/2014/main" id="{7F36F51E-6AE8-4AE5-9CAB-2F0D47EB4A44}"/>
            </a:ext>
          </a:extLst>
        </xdr:cNvPr>
        <xdr:cNvSpPr txBox="1"/>
      </xdr:nvSpPr>
      <xdr:spPr>
        <a:xfrm>
          <a:off x="2606040" y="1318260"/>
          <a:ext cx="9601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C31DA94-5A6D-4F99-9316-601F01843CE0}"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$5,113 </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228600</xdr:colOff>
      <xdr:row>7</xdr:row>
      <xdr:rowOff>38100</xdr:rowOff>
    </xdr:from>
    <xdr:to>
      <xdr:col>8</xdr:col>
      <xdr:colOff>579120</xdr:colOff>
      <xdr:row>9</xdr:row>
      <xdr:rowOff>15240</xdr:rowOff>
    </xdr:to>
    <xdr:sp macro="" textlink="'Pivot Table'!B24">
      <xdr:nvSpPr>
        <xdr:cNvPr id="26" name="TextBox 25">
          <a:extLst>
            <a:ext uri="{FF2B5EF4-FFF2-40B4-BE49-F238E27FC236}">
              <a16:creationId xmlns:a16="http://schemas.microsoft.com/office/drawing/2014/main" id="{B7A75259-25BB-460A-86DE-687D22AA9E41}"/>
            </a:ext>
          </a:extLst>
        </xdr:cNvPr>
        <xdr:cNvSpPr txBox="1"/>
      </xdr:nvSpPr>
      <xdr:spPr>
        <a:xfrm>
          <a:off x="4495800" y="1318260"/>
          <a:ext cx="9601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A24741B-2595-4719-9484-D60F100892B1}"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$4,400 </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297180</xdr:colOff>
      <xdr:row>7</xdr:row>
      <xdr:rowOff>38100</xdr:rowOff>
    </xdr:from>
    <xdr:to>
      <xdr:col>12</xdr:col>
      <xdr:colOff>38100</xdr:colOff>
      <xdr:row>9</xdr:row>
      <xdr:rowOff>15240</xdr:rowOff>
    </xdr:to>
    <xdr:sp macro="" textlink="'Pivot Table'!B22">
      <xdr:nvSpPr>
        <xdr:cNvPr id="28" name="TextBox 27">
          <a:extLst>
            <a:ext uri="{FF2B5EF4-FFF2-40B4-BE49-F238E27FC236}">
              <a16:creationId xmlns:a16="http://schemas.microsoft.com/office/drawing/2014/main" id="{90C39EFE-0021-41BB-9780-067E63D853BE}"/>
            </a:ext>
          </a:extLst>
        </xdr:cNvPr>
        <xdr:cNvSpPr txBox="1"/>
      </xdr:nvSpPr>
      <xdr:spPr>
        <a:xfrm>
          <a:off x="6393180" y="1318260"/>
          <a:ext cx="9601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DF70072-D552-436C-A437-1EEDEA034CBD}"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lgn="l"/>
            <a:t> </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251460</xdr:colOff>
      <xdr:row>7</xdr:row>
      <xdr:rowOff>68580</xdr:rowOff>
    </xdr:from>
    <xdr:to>
      <xdr:col>11</xdr:col>
      <xdr:colOff>601980</xdr:colOff>
      <xdr:row>9</xdr:row>
      <xdr:rowOff>45720</xdr:rowOff>
    </xdr:to>
    <xdr:sp macro="" textlink="'Pivot Table'!B25">
      <xdr:nvSpPr>
        <xdr:cNvPr id="29" name="TextBox 28">
          <a:extLst>
            <a:ext uri="{FF2B5EF4-FFF2-40B4-BE49-F238E27FC236}">
              <a16:creationId xmlns:a16="http://schemas.microsoft.com/office/drawing/2014/main" id="{3B7786E0-5446-4B0A-83B3-3BCD8A980F43}"/>
            </a:ext>
          </a:extLst>
        </xdr:cNvPr>
        <xdr:cNvSpPr txBox="1"/>
      </xdr:nvSpPr>
      <xdr:spPr>
        <a:xfrm>
          <a:off x="6347460" y="1348740"/>
          <a:ext cx="9601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C96A02C-42CA-43A6-B403-A1E6F035D09F}"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$2,439 </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350520</xdr:colOff>
      <xdr:row>7</xdr:row>
      <xdr:rowOff>83820</xdr:rowOff>
    </xdr:from>
    <xdr:to>
      <xdr:col>15</xdr:col>
      <xdr:colOff>91440</xdr:colOff>
      <xdr:row>9</xdr:row>
      <xdr:rowOff>60960</xdr:rowOff>
    </xdr:to>
    <xdr:sp macro="" textlink="'Pivot Table'!B26">
      <xdr:nvSpPr>
        <xdr:cNvPr id="30" name="TextBox 29">
          <a:extLst>
            <a:ext uri="{FF2B5EF4-FFF2-40B4-BE49-F238E27FC236}">
              <a16:creationId xmlns:a16="http://schemas.microsoft.com/office/drawing/2014/main" id="{51522575-7839-43CF-98C7-8F2E3743F96D}"/>
            </a:ext>
          </a:extLst>
        </xdr:cNvPr>
        <xdr:cNvSpPr txBox="1"/>
      </xdr:nvSpPr>
      <xdr:spPr>
        <a:xfrm>
          <a:off x="8275320" y="1363980"/>
          <a:ext cx="9601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446F55E-86BE-423E-BB9F-5B5E401BCDB4}" type="TxLink">
            <a:rPr lang="en-US" sz="20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$1,583 </a:t>
          </a:fld>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182880</xdr:colOff>
      <xdr:row>11</xdr:row>
      <xdr:rowOff>160020</xdr:rowOff>
    </xdr:from>
    <xdr:to>
      <xdr:col>8</xdr:col>
      <xdr:colOff>434340</xdr:colOff>
      <xdr:row>25</xdr:row>
      <xdr:rowOff>106680</xdr:rowOff>
    </xdr:to>
    <xdr:graphicFrame macro="">
      <xdr:nvGraphicFramePr>
        <xdr:cNvPr id="31" name="Chart 30">
          <a:extLst>
            <a:ext uri="{FF2B5EF4-FFF2-40B4-BE49-F238E27FC236}">
              <a16:creationId xmlns:a16="http://schemas.microsoft.com/office/drawing/2014/main" id="{992C4ACD-E82F-4F65-9B6F-1084C4AD9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358140</xdr:colOff>
      <xdr:row>18</xdr:row>
      <xdr:rowOff>53340</xdr:rowOff>
    </xdr:from>
    <xdr:to>
      <xdr:col>6</xdr:col>
      <xdr:colOff>99060</xdr:colOff>
      <xdr:row>20</xdr:row>
      <xdr:rowOff>30480</xdr:rowOff>
    </xdr:to>
    <xdr:sp macro="" textlink="'Pivot Table'!E25">
      <xdr:nvSpPr>
        <xdr:cNvPr id="32" name="TextBox 31">
          <a:extLst>
            <a:ext uri="{FF2B5EF4-FFF2-40B4-BE49-F238E27FC236}">
              <a16:creationId xmlns:a16="http://schemas.microsoft.com/office/drawing/2014/main" id="{082AD861-F6CF-4589-BC50-C210712E8280}"/>
            </a:ext>
          </a:extLst>
        </xdr:cNvPr>
        <xdr:cNvSpPr txBox="1"/>
      </xdr:nvSpPr>
      <xdr:spPr>
        <a:xfrm>
          <a:off x="2796540" y="3345180"/>
          <a:ext cx="9601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F0CAEF-4567-4817-B114-A64F150E3774}" type="TxLink">
            <a:rPr lang="en-US" sz="16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$25,032 </a:t>
          </a:fld>
          <a:endParaRPr lang="en-US" sz="3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563880</xdr:colOff>
      <xdr:row>12</xdr:row>
      <xdr:rowOff>22860</xdr:rowOff>
    </xdr:from>
    <xdr:to>
      <xdr:col>15</xdr:col>
      <xdr:colOff>387928</xdr:colOff>
      <xdr:row>23</xdr:row>
      <xdr:rowOff>48491</xdr:rowOff>
    </xdr:to>
    <xdr:sp macro="" textlink="">
      <xdr:nvSpPr>
        <xdr:cNvPr id="34" name="Rectangle: Rounded Corners 33">
          <a:extLst>
            <a:ext uri="{FF2B5EF4-FFF2-40B4-BE49-F238E27FC236}">
              <a16:creationId xmlns:a16="http://schemas.microsoft.com/office/drawing/2014/main" id="{02B02FD4-1C3F-4F90-B04E-652D0147BB94}"/>
            </a:ext>
          </a:extLst>
        </xdr:cNvPr>
        <xdr:cNvSpPr/>
      </xdr:nvSpPr>
      <xdr:spPr>
        <a:xfrm>
          <a:off x="5440680" y="2184169"/>
          <a:ext cx="4091248" cy="2006831"/>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55418</xdr:colOff>
      <xdr:row>11</xdr:row>
      <xdr:rowOff>160020</xdr:rowOff>
    </xdr:from>
    <xdr:to>
      <xdr:col>15</xdr:col>
      <xdr:colOff>284018</xdr:colOff>
      <xdr:row>23</xdr:row>
      <xdr:rowOff>0</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73580CFC-CAA4-4556-9FDA-E938FA8817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884718" y="2150745"/>
              <a:ext cx="4114800" cy="20116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394855</xdr:colOff>
      <xdr:row>26</xdr:row>
      <xdr:rowOff>90055</xdr:rowOff>
    </xdr:from>
    <xdr:to>
      <xdr:col>8</xdr:col>
      <xdr:colOff>207818</xdr:colOff>
      <xdr:row>37</xdr:row>
      <xdr:rowOff>96982</xdr:rowOff>
    </xdr:to>
    <xdr:graphicFrame macro="">
      <xdr:nvGraphicFramePr>
        <xdr:cNvPr id="36" name="Chart 35">
          <a:extLst>
            <a:ext uri="{FF2B5EF4-FFF2-40B4-BE49-F238E27FC236}">
              <a16:creationId xmlns:a16="http://schemas.microsoft.com/office/drawing/2014/main" id="{D1945BCE-F754-4622-B830-19B314553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584662</xdr:colOff>
      <xdr:row>24</xdr:row>
      <xdr:rowOff>64423</xdr:rowOff>
    </xdr:from>
    <xdr:to>
      <xdr:col>15</xdr:col>
      <xdr:colOff>378922</xdr:colOff>
      <xdr:row>37</xdr:row>
      <xdr:rowOff>94903</xdr:rowOff>
    </xdr:to>
    <xdr:sp macro="" textlink="">
      <xdr:nvSpPr>
        <xdr:cNvPr id="38" name="Rectangle: Rounded Corners 37">
          <a:extLst>
            <a:ext uri="{FF2B5EF4-FFF2-40B4-BE49-F238E27FC236}">
              <a16:creationId xmlns:a16="http://schemas.microsoft.com/office/drawing/2014/main" id="{6896184A-BE9B-4E6A-8FB3-C5EE761DA826}"/>
            </a:ext>
          </a:extLst>
        </xdr:cNvPr>
        <xdr:cNvSpPr/>
      </xdr:nvSpPr>
      <xdr:spPr>
        <a:xfrm>
          <a:off x="5461462" y="4387041"/>
          <a:ext cx="4061460" cy="2371898"/>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595745</xdr:colOff>
      <xdr:row>24</xdr:row>
      <xdr:rowOff>55417</xdr:rowOff>
    </xdr:from>
    <xdr:to>
      <xdr:col>15</xdr:col>
      <xdr:colOff>360219</xdr:colOff>
      <xdr:row>37</xdr:row>
      <xdr:rowOff>96982</xdr:rowOff>
    </xdr:to>
    <xdr:graphicFrame macro="">
      <xdr:nvGraphicFramePr>
        <xdr:cNvPr id="39" name="Chart 38">
          <a:extLst>
            <a:ext uri="{FF2B5EF4-FFF2-40B4-BE49-F238E27FC236}">
              <a16:creationId xmlns:a16="http://schemas.microsoft.com/office/drawing/2014/main" id="{C1E213BC-1C1C-4667-A862-BF21DC8DF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556953</xdr:colOff>
      <xdr:row>6</xdr:row>
      <xdr:rowOff>119841</xdr:rowOff>
    </xdr:from>
    <xdr:to>
      <xdr:col>22</xdr:col>
      <xdr:colOff>394855</xdr:colOff>
      <xdr:row>37</xdr:row>
      <xdr:rowOff>117764</xdr:rowOff>
    </xdr:to>
    <xdr:sp macro="" textlink="">
      <xdr:nvSpPr>
        <xdr:cNvPr id="41" name="Rectangle: Rounded Corners 40">
          <a:extLst>
            <a:ext uri="{FF2B5EF4-FFF2-40B4-BE49-F238E27FC236}">
              <a16:creationId xmlns:a16="http://schemas.microsoft.com/office/drawing/2014/main" id="{D6199098-F707-49BF-B4C2-E9B4E3E5F47F}"/>
            </a:ext>
          </a:extLst>
        </xdr:cNvPr>
        <xdr:cNvSpPr/>
      </xdr:nvSpPr>
      <xdr:spPr>
        <a:xfrm>
          <a:off x="9700953" y="1200496"/>
          <a:ext cx="4105102" cy="5581304"/>
        </a:xfrm>
        <a:prstGeom prst="roundRect">
          <a:avLst/>
        </a:prstGeom>
        <a:solidFill>
          <a:srgbClr val="1B3C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187036</xdr:colOff>
      <xdr:row>7</xdr:row>
      <xdr:rowOff>131619</xdr:rowOff>
    </xdr:from>
    <xdr:to>
      <xdr:col>22</xdr:col>
      <xdr:colOff>214745</xdr:colOff>
      <xdr:row>36</xdr:row>
      <xdr:rowOff>103910</xdr:rowOff>
    </xdr:to>
    <xdr:graphicFrame macro="">
      <xdr:nvGraphicFramePr>
        <xdr:cNvPr id="42" name="Chart 41">
          <a:extLst>
            <a:ext uri="{FF2B5EF4-FFF2-40B4-BE49-F238E27FC236}">
              <a16:creationId xmlns:a16="http://schemas.microsoft.com/office/drawing/2014/main" id="{570BC7BD-D1FD-450A-AECB-549A11A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215439</xdr:colOff>
      <xdr:row>6</xdr:row>
      <xdr:rowOff>178723</xdr:rowOff>
    </xdr:from>
    <xdr:to>
      <xdr:col>2</xdr:col>
      <xdr:colOff>581892</xdr:colOff>
      <xdr:row>33</xdr:row>
      <xdr:rowOff>110836</xdr:rowOff>
    </xdr:to>
    <mc:AlternateContent xmlns:mc="http://schemas.openxmlformats.org/markup-compatibility/2006" xmlns:a14="http://schemas.microsoft.com/office/drawing/2010/main">
      <mc:Choice Requires="a14">
        <xdr:graphicFrame macro="">
          <xdr:nvGraphicFramePr>
            <xdr:cNvPr id="43" name="Month2">
              <a:extLst>
                <a:ext uri="{FF2B5EF4-FFF2-40B4-BE49-F238E27FC236}">
                  <a16:creationId xmlns:a16="http://schemas.microsoft.com/office/drawing/2014/main" id="{A41841C5-FBF2-484D-9B08-3C7377D0D9CC}"/>
                </a:ext>
              </a:extLst>
            </xdr:cNvPr>
            <xdr:cNvGraphicFramePr/>
          </xdr:nvGraphicFramePr>
          <xdr:xfrm>
            <a:off x="0" y="0"/>
            <a:ext cx="0" cy="0"/>
          </xdr:xfrm>
          <a:graphic>
            <a:graphicData uri="http://schemas.microsoft.com/office/drawing/2010/slicer">
              <sle:slicer xmlns:sle="http://schemas.microsoft.com/office/drawing/2010/slicer" name="Month2"/>
            </a:graphicData>
          </a:graphic>
        </xdr:graphicFrame>
      </mc:Choice>
      <mc:Fallback xmlns="">
        <xdr:sp macro="" textlink="">
          <xdr:nvSpPr>
            <xdr:cNvPr id="0" name=""/>
            <xdr:cNvSpPr>
              <a:spLocks noTextEdit="1"/>
            </xdr:cNvSpPr>
          </xdr:nvSpPr>
          <xdr:spPr>
            <a:xfrm>
              <a:off x="215439" y="1259378"/>
              <a:ext cx="1585653" cy="4795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in Dead" refreshedDate="46110.851001041665" createdVersion="8" refreshedVersion="8" minRefreshableVersion="3" recordCount="697" xr:uid="{6A73F5EA-A7AA-4879-9E90-5AD4F0BF44DB}">
  <cacheSource type="worksheet">
    <worksheetSource name="Budget3"/>
  </cacheSource>
  <cacheFields count="9">
    <cacheField name="Month" numFmtId="0">
      <sharedItems containsSemiMixedTypes="0" containsString="0" containsNumber="1" containsInteger="1" minValue="1" maxValue="12"/>
    </cacheField>
    <cacheField name="Date" numFmtId="14">
      <sharedItems containsNonDate="0" containsDate="1" containsString="0" containsBlank="1" minDate="2025-01-01T00:00:00" maxDate="2026-01-01T00:00:00"/>
    </cacheField>
    <cacheField name="Description" numFmtId="0">
      <sharedItems containsBlank="1"/>
    </cacheField>
    <cacheField name="Category" numFmtId="0">
      <sharedItems containsBlank="1" count="10">
        <s v="Income"/>
        <s v="PAYMENT"/>
        <s v="Entertainment"/>
        <s v="ZELLE"/>
        <s v="Food"/>
        <s v="Gas"/>
        <s v="Groceries"/>
        <s v="Savings"/>
        <s v="INTEREST Savings"/>
        <m/>
      </sharedItems>
    </cacheField>
    <cacheField name="Income" numFmtId="44">
      <sharedItems containsString="0" containsBlank="1" containsNumber="1" minValue="-1000" maxValue="11424"/>
    </cacheField>
    <cacheField name="Credit" numFmtId="0">
      <sharedItems containsString="0" containsBlank="1" containsNumber="1" minValue="-334.01" maxValue="1391.16"/>
    </cacheField>
    <cacheField name="IGNORE" numFmtId="44">
      <sharedItems containsMixedTypes="1" containsNumber="1" minValue="-10307.669999999996" maxValue="2014.3500000000035"/>
    </cacheField>
    <cacheField name="Month2" numFmtId="44">
      <sharedItems count="12">
        <s v="Jan"/>
        <s v="Feb"/>
        <s v="Mar"/>
        <s v="Apr"/>
        <s v="May"/>
        <s v="Jun"/>
        <s v="Jul"/>
        <s v="Aug"/>
        <s v="Sep"/>
        <s v="Oct"/>
        <s v="Nov"/>
        <s v="Dec"/>
      </sharedItems>
    </cacheField>
    <cacheField name="SubCategory" numFmtId="44">
      <sharedItems count="14">
        <s v="Income"/>
        <s v="PAYMENT"/>
        <s v="Concert"/>
        <s v="ZELLE"/>
        <s v="Eating out"/>
        <s v="Gas"/>
        <s v="Groceries"/>
        <s v="Outing"/>
        <s v="Subscription"/>
        <s v="Savings"/>
        <s v="ZELLE Income"/>
        <s v="Pokemon"/>
        <s v="Games"/>
        <s v=""/>
      </sharedItems>
    </cacheField>
  </cacheFields>
  <extLst>
    <ext xmlns:x14="http://schemas.microsoft.com/office/spreadsheetml/2009/9/main" uri="{725AE2AE-9491-48be-B2B4-4EB974FC3084}">
      <x14:pivotCacheDefinition pivotCacheId="1540041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7">
  <r>
    <n v="1"/>
    <d v="2025-01-01T00:00:00"/>
    <s v="STARTING Income"/>
    <x v="0"/>
    <n v="955.55"/>
    <m/>
    <e v="#VALUE!"/>
    <x v="0"/>
    <x v="0"/>
  </r>
  <r>
    <n v="1"/>
    <d v="2025-01-02T00:00:00"/>
    <s v="PAYMENT  00ZW-VVMQ-Y2DP_x0009_"/>
    <x v="1"/>
    <m/>
    <n v="406.49"/>
    <n v="353.33"/>
    <x v="0"/>
    <x v="1"/>
  </r>
  <r>
    <n v="1"/>
    <d v="2025-01-09T00:00:00"/>
    <s v="StubHub EMPIRE OF THE SUN"/>
    <x v="2"/>
    <m/>
    <n v="594.62"/>
    <n v="-241.29000000000002"/>
    <x v="0"/>
    <x v="2"/>
  </r>
  <r>
    <n v="1"/>
    <d v="2025-01-09T00:00:00"/>
    <s v="Paycheck"/>
    <x v="0"/>
    <n v="750.8"/>
    <m/>
    <n v="509.50999999999993"/>
    <x v="0"/>
    <x v="0"/>
  </r>
  <r>
    <n v="1"/>
    <d v="2025-01-05T00:00:00"/>
    <s v="ZELLE Hailey Yum"/>
    <x v="3"/>
    <n v="-22"/>
    <m/>
    <n v="487.50999999999993"/>
    <x v="0"/>
    <x v="3"/>
  </r>
  <r>
    <n v="1"/>
    <d v="2025-01-05T00:00:00"/>
    <s v="Starbucks"/>
    <x v="4"/>
    <m/>
    <n v="20.73"/>
    <n v="466.77999999999992"/>
    <x v="0"/>
    <x v="4"/>
  </r>
  <r>
    <n v="1"/>
    <d v="2025-01-05T00:00:00"/>
    <s v="Sushi Soho"/>
    <x v="4"/>
    <m/>
    <n v="45"/>
    <n v="421.77999999999992"/>
    <x v="0"/>
    <x v="4"/>
  </r>
  <r>
    <n v="1"/>
    <d v="2025-01-07T00:00:00"/>
    <s v="Okaeri Café"/>
    <x v="4"/>
    <m/>
    <n v="13.56"/>
    <n v="408.21999999999991"/>
    <x v="0"/>
    <x v="4"/>
  </r>
  <r>
    <n v="1"/>
    <d v="2025-01-09T00:00:00"/>
    <s v="See Tickets ALESSO"/>
    <x v="2"/>
    <m/>
    <n v="86.89"/>
    <n v="321.32999999999993"/>
    <x v="0"/>
    <x v="2"/>
  </r>
  <r>
    <n v="1"/>
    <d v="2025-01-13T00:00:00"/>
    <s v="ZELLE Ryan"/>
    <x v="3"/>
    <n v="-15"/>
    <m/>
    <n v="306.32999999999993"/>
    <x v="0"/>
    <x v="3"/>
  </r>
  <r>
    <n v="1"/>
    <d v="2025-01-06T00:00:00"/>
    <s v="7-Eleven"/>
    <x v="5"/>
    <m/>
    <n v="46.07"/>
    <n v="260.25999999999993"/>
    <x v="0"/>
    <x v="5"/>
  </r>
  <r>
    <n v="1"/>
    <d v="2025-01-11T00:00:00"/>
    <s v="Walmart"/>
    <x v="6"/>
    <m/>
    <n v="16.59"/>
    <n v="243.66999999999993"/>
    <x v="0"/>
    <x v="6"/>
  </r>
  <r>
    <n v="1"/>
    <d v="2025-01-12T00:00:00"/>
    <s v="Teso"/>
    <x v="6"/>
    <m/>
    <n v="76.069999999999993"/>
    <n v="167.59999999999994"/>
    <x v="0"/>
    <x v="6"/>
  </r>
  <r>
    <n v="1"/>
    <d v="2025-01-12T00:00:00"/>
    <s v="Ice Skating Allen"/>
    <x v="2"/>
    <m/>
    <n v="10"/>
    <n v="157.59999999999994"/>
    <x v="0"/>
    <x v="7"/>
  </r>
  <r>
    <n v="1"/>
    <d v="2025-01-14T00:00:00"/>
    <s v="Spotify"/>
    <x v="2"/>
    <m/>
    <n v="21.64"/>
    <n v="135.95999999999992"/>
    <x v="0"/>
    <x v="8"/>
  </r>
  <r>
    <n v="1"/>
    <d v="2025-01-15T00:00:00"/>
    <s v="Uniqlo"/>
    <x v="6"/>
    <m/>
    <n v="32.369999999999997"/>
    <n v="103.58999999999992"/>
    <x v="0"/>
    <x v="6"/>
  </r>
  <r>
    <n v="1"/>
    <d v="2025-01-15T00:00:00"/>
    <s v="Fiery Nashville Chicken"/>
    <x v="4"/>
    <m/>
    <n v="30.29"/>
    <n v="73.299999999999926"/>
    <x v="0"/>
    <x v="4"/>
  </r>
  <r>
    <n v="1"/>
    <d v="2025-01-15T00:00:00"/>
    <s v="PAYMENT  00ZW-VY8J-1QQ5_x0009_"/>
    <x v="1"/>
    <m/>
    <n v="909.53"/>
    <n v="-836.23"/>
    <x v="0"/>
    <x v="1"/>
  </r>
  <r>
    <n v="1"/>
    <d v="2025-01-16T00:00:00"/>
    <s v="7-Eleven"/>
    <x v="5"/>
    <m/>
    <n v="41.72"/>
    <n v="-877.95"/>
    <x v="0"/>
    <x v="5"/>
  </r>
  <r>
    <n v="1"/>
    <d v="2025-01-17T00:00:00"/>
    <s v="Target"/>
    <x v="6"/>
    <m/>
    <n v="16.45"/>
    <n v="-894.40000000000009"/>
    <x v="0"/>
    <x v="6"/>
  </r>
  <r>
    <n v="1"/>
    <d v="2025-01-25T00:00:00"/>
    <s v="McGrawHill"/>
    <x v="6"/>
    <m/>
    <n v="96.33"/>
    <n v="-990.73000000000013"/>
    <x v="0"/>
    <x v="6"/>
  </r>
  <r>
    <n v="1"/>
    <d v="2025-01-25T00:00:00"/>
    <s v="ZELLE Terrence"/>
    <x v="3"/>
    <n v="-40"/>
    <m/>
    <n v="-1030.73"/>
    <x v="0"/>
    <x v="3"/>
  </r>
  <r>
    <n v="1"/>
    <d v="2025-01-23T00:00:00"/>
    <s v="Paycheck"/>
    <x v="0"/>
    <n v="765.46"/>
    <m/>
    <n v="-265.27"/>
    <x v="0"/>
    <x v="0"/>
  </r>
  <r>
    <n v="1"/>
    <d v="2025-01-29T00:00:00"/>
    <s v="Transfer to savings"/>
    <x v="7"/>
    <m/>
    <n v="500"/>
    <n v="-765.27"/>
    <x v="0"/>
    <x v="9"/>
  </r>
  <r>
    <n v="1"/>
    <d v="2025-01-25T00:00:00"/>
    <s v="7-Eleven"/>
    <x v="5"/>
    <m/>
    <n v="40.130000000000003"/>
    <n v="-805.4"/>
    <x v="0"/>
    <x v="5"/>
  </r>
  <r>
    <n v="1"/>
    <d v="2025-01-25T00:00:00"/>
    <s v="7-Eleven"/>
    <x v="5"/>
    <m/>
    <n v="23.29"/>
    <n v="-828.68999999999994"/>
    <x v="0"/>
    <x v="5"/>
  </r>
  <r>
    <n v="1"/>
    <d v="2025-01-29T00:00:00"/>
    <s v="7-Eleven"/>
    <x v="5"/>
    <m/>
    <n v="46.89"/>
    <n v="-875.57999999999993"/>
    <x v="0"/>
    <x v="5"/>
  </r>
  <r>
    <n v="1"/>
    <d v="2025-01-31T00:00:00"/>
    <s v="Saving Interest"/>
    <x v="8"/>
    <m/>
    <n v="25.39"/>
    <n v="-900.96999999999991"/>
    <x v="0"/>
    <x v="9"/>
  </r>
  <r>
    <n v="2"/>
    <d v="2025-02-04T00:00:00"/>
    <s v="PAYMENT  00ZW-W3DY-C07P_x0009_"/>
    <x v="1"/>
    <m/>
    <n v="349.11"/>
    <n v="-1224.69"/>
    <x v="1"/>
    <x v="1"/>
  </r>
  <r>
    <n v="2"/>
    <d v="2025-02-03T00:00:00"/>
    <s v="UTD Market"/>
    <x v="4"/>
    <m/>
    <n v="5.4"/>
    <n v="-1230.0900000000001"/>
    <x v="1"/>
    <x v="4"/>
  </r>
  <r>
    <n v="2"/>
    <d v="2025-02-03T00:00:00"/>
    <s v="7-Eleven"/>
    <x v="5"/>
    <m/>
    <n v="36.93"/>
    <n v="-1267.0200000000002"/>
    <x v="1"/>
    <x v="5"/>
  </r>
  <r>
    <n v="2"/>
    <d v="2025-02-05T00:00:00"/>
    <s v="UTD Market"/>
    <x v="4"/>
    <m/>
    <n v="9.18"/>
    <n v="-1276.2000000000003"/>
    <x v="1"/>
    <x v="4"/>
  </r>
  <r>
    <n v="2"/>
    <d v="2025-02-05T00:00:00"/>
    <s v="UTD Market"/>
    <x v="4"/>
    <m/>
    <n v="9.15"/>
    <n v="-1285.3500000000004"/>
    <x v="1"/>
    <x v="4"/>
  </r>
  <r>
    <n v="2"/>
    <d v="2025-02-05T00:00:00"/>
    <s v="Fortnite"/>
    <x v="6"/>
    <m/>
    <n v="9.24"/>
    <n v="-1294.5900000000004"/>
    <x v="1"/>
    <x v="6"/>
  </r>
  <r>
    <n v="2"/>
    <d v="2025-02-06T00:00:00"/>
    <s v="Hobby Lobby"/>
    <x v="6"/>
    <m/>
    <n v="3.78"/>
    <n v="-1298.3700000000003"/>
    <x v="1"/>
    <x v="6"/>
  </r>
  <r>
    <n v="2"/>
    <d v="2025-02-06T00:00:00"/>
    <s v="SnapChat"/>
    <x v="6"/>
    <m/>
    <n v="1.07"/>
    <n v="-1299.4400000000003"/>
    <x v="1"/>
    <x v="6"/>
  </r>
  <r>
    <n v="2"/>
    <d v="2025-02-09T00:00:00"/>
    <s v="In-N-Out"/>
    <x v="4"/>
    <m/>
    <n v="27.93"/>
    <n v="-1327.3700000000003"/>
    <x v="1"/>
    <x v="4"/>
  </r>
  <r>
    <n v="2"/>
    <d v="2025-02-09T00:00:00"/>
    <s v="Circle K"/>
    <x v="5"/>
    <m/>
    <n v="43.26"/>
    <n v="-1370.6300000000003"/>
    <x v="1"/>
    <x v="5"/>
  </r>
  <r>
    <n v="2"/>
    <d v="2025-02-09T00:00:00"/>
    <s v="Barnes &amp; Noble"/>
    <x v="6"/>
    <m/>
    <n v="86.59"/>
    <n v="-1457.2200000000003"/>
    <x v="1"/>
    <x v="6"/>
  </r>
  <r>
    <n v="2"/>
    <d v="2025-02-10T00:00:00"/>
    <s v="Walmart"/>
    <x v="6"/>
    <m/>
    <n v="18.38"/>
    <n v="-1475.6000000000004"/>
    <x v="1"/>
    <x v="6"/>
  </r>
  <r>
    <n v="2"/>
    <d v="2025-02-10T00:00:00"/>
    <s v="Hobby Lobby"/>
    <x v="6"/>
    <m/>
    <n v="5.15"/>
    <n v="-1480.7500000000005"/>
    <x v="1"/>
    <x v="6"/>
  </r>
  <r>
    <n v="2"/>
    <d v="2025-02-12T00:00:00"/>
    <s v="Trader Joes"/>
    <x v="6"/>
    <m/>
    <n v="43.21"/>
    <n v="-1523.9600000000005"/>
    <x v="1"/>
    <x v="6"/>
  </r>
  <r>
    <n v="2"/>
    <d v="2025-02-12T00:00:00"/>
    <s v="Target"/>
    <x v="6"/>
    <m/>
    <n v="27.9"/>
    <n v="-1551.8600000000006"/>
    <x v="1"/>
    <x v="6"/>
  </r>
  <r>
    <n v="2"/>
    <d v="2025-02-12T00:00:00"/>
    <s v="Dollar Tree"/>
    <x v="6"/>
    <m/>
    <n v="7.85"/>
    <n v="-1559.7100000000005"/>
    <x v="1"/>
    <x v="6"/>
  </r>
  <r>
    <n v="2"/>
    <d v="2025-02-13T00:00:00"/>
    <s v="WOOPS"/>
    <x v="4"/>
    <m/>
    <n v="24.64"/>
    <n v="-1584.3500000000006"/>
    <x v="1"/>
    <x v="4"/>
  </r>
  <r>
    <n v="2"/>
    <d v="2025-02-14T00:00:00"/>
    <s v="BREAKAWAY DALLAS"/>
    <x v="2"/>
    <m/>
    <n v="272.04000000000002"/>
    <n v="-1856.3900000000006"/>
    <x v="1"/>
    <x v="2"/>
  </r>
  <r>
    <n v="2"/>
    <d v="2025-02-15T00:00:00"/>
    <s v="Spotify"/>
    <x v="2"/>
    <m/>
    <n v="21.64"/>
    <n v="-1878.0300000000007"/>
    <x v="1"/>
    <x v="8"/>
  </r>
  <r>
    <n v="2"/>
    <d v="2025-02-06T00:00:00"/>
    <s v="Paycheck"/>
    <x v="0"/>
    <n v="761.99"/>
    <m/>
    <n v="-1116.0400000000006"/>
    <x v="1"/>
    <x v="0"/>
  </r>
  <r>
    <n v="2"/>
    <d v="2025-02-09T00:00:00"/>
    <s v="ZELLE Terrence"/>
    <x v="3"/>
    <n v="-38"/>
    <m/>
    <n v="-1154.0400000000006"/>
    <x v="1"/>
    <x v="3"/>
  </r>
  <r>
    <n v="2"/>
    <d v="2025-02-09T00:00:00"/>
    <s v="ZELLE Pokemon"/>
    <x v="3"/>
    <n v="-155"/>
    <m/>
    <n v="-1309.0400000000006"/>
    <x v="1"/>
    <x v="3"/>
  </r>
  <r>
    <n v="2"/>
    <d v="2025-02-10T00:00:00"/>
    <s v="ZELLE Farhad"/>
    <x v="3"/>
    <n v="-6"/>
    <m/>
    <n v="-1315.0400000000006"/>
    <x v="1"/>
    <x v="3"/>
  </r>
  <r>
    <n v="2"/>
    <d v="2025-02-17T00:00:00"/>
    <s v="PAYMENT  00ZW-W63P-HJVH_x0009_"/>
    <x v="1"/>
    <m/>
    <n v="653.34"/>
    <n v="-1968.3800000000006"/>
    <x v="1"/>
    <x v="1"/>
  </r>
  <r>
    <n v="2"/>
    <d v="2025-02-17T00:00:00"/>
    <s v="7-Eleven"/>
    <x v="5"/>
    <m/>
    <n v="47.42"/>
    <n v="-2015.8000000000006"/>
    <x v="1"/>
    <x v="5"/>
  </r>
  <r>
    <n v="2"/>
    <d v="2025-02-19T00:00:00"/>
    <s v="Party N Plano"/>
    <x v="6"/>
    <m/>
    <n v="39.840000000000003"/>
    <n v="-2055.6400000000008"/>
    <x v="1"/>
    <x v="6"/>
  </r>
  <r>
    <n v="2"/>
    <d v="2025-02-20T00:00:00"/>
    <s v="Paycheck"/>
    <x v="0"/>
    <n v="695.46"/>
    <m/>
    <n v="-1360.1800000000007"/>
    <x v="1"/>
    <x v="0"/>
  </r>
  <r>
    <n v="2"/>
    <d v="2025-02-23T00:00:00"/>
    <s v="ZELLE Jennifer"/>
    <x v="3"/>
    <n v="-63"/>
    <m/>
    <n v="-1423.1800000000007"/>
    <x v="1"/>
    <x v="3"/>
  </r>
  <r>
    <n v="2"/>
    <d v="2025-02-19T00:00:00"/>
    <s v="Crumbl Cookie"/>
    <x v="4"/>
    <m/>
    <n v="32.26"/>
    <n v="-1455.4400000000007"/>
    <x v="1"/>
    <x v="4"/>
  </r>
  <r>
    <n v="2"/>
    <d v="2025-02-20T00:00:00"/>
    <s v="Canteen Vending"/>
    <x v="4"/>
    <m/>
    <n v="8.5"/>
    <n v="-1463.9400000000007"/>
    <x v="1"/>
    <x v="4"/>
  </r>
  <r>
    <n v="2"/>
    <d v="2025-02-23T00:00:00"/>
    <s v="Escape 360"/>
    <x v="4"/>
    <m/>
    <n v="51.73"/>
    <n v="-1515.6700000000008"/>
    <x v="1"/>
    <x v="4"/>
  </r>
  <r>
    <n v="2"/>
    <d v="2025-02-23T00:00:00"/>
    <s v="Pop Mart"/>
    <x v="6"/>
    <m/>
    <n v="19.47"/>
    <n v="-1535.1400000000008"/>
    <x v="1"/>
    <x v="6"/>
  </r>
  <r>
    <n v="2"/>
    <d v="2025-02-23T00:00:00"/>
    <s v="Uniqlo"/>
    <x v="6"/>
    <m/>
    <n v="59.33"/>
    <n v="-1594.4700000000007"/>
    <x v="1"/>
    <x v="6"/>
  </r>
  <r>
    <n v="2"/>
    <d v="2025-02-28T00:00:00"/>
    <s v="TAX Repay"/>
    <x v="0"/>
    <n v="564"/>
    <m/>
    <n v="-1030.4700000000007"/>
    <x v="1"/>
    <x v="0"/>
  </r>
  <r>
    <n v="2"/>
    <d v="2025-02-28T00:00:00"/>
    <s v="TAX Savings"/>
    <x v="7"/>
    <m/>
    <n v="164"/>
    <n v="-1758.4700000000007"/>
    <x v="1"/>
    <x v="9"/>
  </r>
  <r>
    <n v="2"/>
    <d v="2025-02-28T00:00:00"/>
    <s v="Saving Interest"/>
    <x v="8"/>
    <m/>
    <n v="24.33"/>
    <n v="-1618.8000000000006"/>
    <x v="1"/>
    <x v="9"/>
  </r>
  <r>
    <n v="2"/>
    <d v="2025-02-24T00:00:00"/>
    <s v="7-Eleven"/>
    <x v="5"/>
    <m/>
    <n v="39.86"/>
    <n v="-1634.3300000000006"/>
    <x v="1"/>
    <x v="5"/>
  </r>
  <r>
    <n v="3"/>
    <d v="2025-03-01T00:00:00"/>
    <s v="PAYMENT  00ZW-WC36-4J6J_x0009_"/>
    <x v="1"/>
    <m/>
    <n v="298.41000000000003"/>
    <n v="-1932.7400000000007"/>
    <x v="2"/>
    <x v="1"/>
  </r>
  <r>
    <n v="3"/>
    <d v="2025-03-01T00:00:00"/>
    <s v="Walmart Sony ZV-e10"/>
    <x v="6"/>
    <m/>
    <n v="747.76"/>
    <n v="-2680.5000000000009"/>
    <x v="2"/>
    <x v="6"/>
  </r>
  <r>
    <n v="3"/>
    <d v="2025-03-03T00:00:00"/>
    <s v="New Orleans Crab Shack"/>
    <x v="4"/>
    <m/>
    <n v="41.63"/>
    <n v="-2722.130000000001"/>
    <x v="2"/>
    <x v="4"/>
  </r>
  <r>
    <n v="3"/>
    <d v="2025-03-05T00:00:00"/>
    <s v="Target"/>
    <x v="6"/>
    <m/>
    <n v="6.48"/>
    <n v="-2728.610000000001"/>
    <x v="2"/>
    <x v="6"/>
  </r>
  <r>
    <n v="3"/>
    <d v="2025-03-05T00:00:00"/>
    <s v="Target"/>
    <x v="6"/>
    <m/>
    <n v="23.8"/>
    <n v="-2752.4100000000012"/>
    <x v="2"/>
    <x v="6"/>
  </r>
  <r>
    <n v="3"/>
    <d v="2025-03-05T00:00:00"/>
    <s v="CRANKDAT"/>
    <x v="2"/>
    <m/>
    <n v="58.84"/>
    <n v="-2811.2500000000014"/>
    <x v="2"/>
    <x v="2"/>
  </r>
  <r>
    <n v="3"/>
    <d v="2025-03-06T00:00:00"/>
    <s v="Paycheck"/>
    <x v="0"/>
    <n v="566.35"/>
    <m/>
    <n v="-2244.9000000000015"/>
    <x v="2"/>
    <x v="0"/>
  </r>
  <r>
    <n v="3"/>
    <d v="2025-03-11T00:00:00"/>
    <s v="ZELLE Auntie Nadine"/>
    <x v="0"/>
    <n v="50"/>
    <m/>
    <n v="-2194.9000000000015"/>
    <x v="2"/>
    <x v="10"/>
  </r>
  <r>
    <n v="3"/>
    <d v="2025-03-04T00:00:00"/>
    <s v="7-Eleven"/>
    <x v="5"/>
    <m/>
    <n v="41.91"/>
    <n v="-2236.8100000000013"/>
    <x v="2"/>
    <x v="5"/>
  </r>
  <r>
    <n v="3"/>
    <d v="2025-03-17T00:00:00"/>
    <s v="PAYMENT  00ZW-WGW2-Y26D_x0009__x0009_"/>
    <x v="1"/>
    <m/>
    <n v="1020.13"/>
    <n v="-3256.9400000000014"/>
    <x v="2"/>
    <x v="1"/>
  </r>
  <r>
    <n v="3"/>
    <d v="2025-03-08T00:00:00"/>
    <s v="Pop Mart"/>
    <x v="6"/>
    <m/>
    <n v="18.39"/>
    <n v="-3275.3300000000013"/>
    <x v="2"/>
    <x v="6"/>
  </r>
  <r>
    <n v="3"/>
    <d v="2025-03-12T00:00:00"/>
    <s v="7-Eleven"/>
    <x v="5"/>
    <m/>
    <n v="41.04"/>
    <n v="-3316.3700000000013"/>
    <x v="2"/>
    <x v="5"/>
  </r>
  <r>
    <n v="3"/>
    <d v="2025-03-15T00:00:00"/>
    <s v="Spotify"/>
    <x v="2"/>
    <m/>
    <n v="21.64"/>
    <n v="-3338.0100000000011"/>
    <x v="2"/>
    <x v="8"/>
  </r>
  <r>
    <n v="3"/>
    <d v="2025-03-15T00:00:00"/>
    <s v="Coldstone"/>
    <x v="4"/>
    <m/>
    <n v="18.64"/>
    <n v="-3356.650000000001"/>
    <x v="2"/>
    <x v="4"/>
  </r>
  <r>
    <n v="3"/>
    <d v="2025-03-15T00:00:00"/>
    <s v="In-N-Out"/>
    <x v="4"/>
    <m/>
    <n v="23.49"/>
    <n v="-3380.1400000000008"/>
    <x v="2"/>
    <x v="4"/>
  </r>
  <r>
    <n v="3"/>
    <d v="2025-03-16T00:00:00"/>
    <s v="Bellevue"/>
    <x v="6"/>
    <m/>
    <n v="10.81"/>
    <n v="-3390.9500000000007"/>
    <x v="2"/>
    <x v="6"/>
  </r>
  <r>
    <n v="3"/>
    <d v="2025-03-21T00:00:00"/>
    <s v="SnapChat"/>
    <x v="2"/>
    <m/>
    <n v="1.07"/>
    <n v="-3392.0200000000009"/>
    <x v="2"/>
    <x v="8"/>
  </r>
  <r>
    <n v="3"/>
    <d v="2025-03-25T00:00:00"/>
    <s v="Amazon"/>
    <x v="6"/>
    <m/>
    <n v="67.06"/>
    <n v="-3459.0800000000008"/>
    <x v="2"/>
    <x v="6"/>
  </r>
  <r>
    <n v="3"/>
    <d v="2025-03-26T00:00:00"/>
    <s v="Lord Rush"/>
    <x v="2"/>
    <m/>
    <n v="44.95"/>
    <n v="-3504.0300000000007"/>
    <x v="2"/>
    <x v="11"/>
  </r>
  <r>
    <n v="3"/>
    <d v="2025-03-27T00:00:00"/>
    <s v="Kroger"/>
    <x v="6"/>
    <m/>
    <n v="33.24"/>
    <n v="-3537.2700000000004"/>
    <x v="2"/>
    <x v="6"/>
  </r>
  <r>
    <n v="3"/>
    <d v="2025-03-27T00:00:00"/>
    <s v="7-Eleven"/>
    <x v="5"/>
    <m/>
    <n v="46.45"/>
    <n v="-3583.7200000000003"/>
    <x v="2"/>
    <x v="5"/>
  </r>
  <r>
    <n v="3"/>
    <d v="2025-03-28T00:00:00"/>
    <s v="Walmart"/>
    <x v="6"/>
    <m/>
    <n v="10.7"/>
    <n v="-3594.42"/>
    <x v="2"/>
    <x v="6"/>
  </r>
  <r>
    <n v="3"/>
    <d v="2025-03-28T00:00:00"/>
    <s v="Pokemon Vending Machine"/>
    <x v="2"/>
    <m/>
    <n v="38.880000000000003"/>
    <n v="-3633.3"/>
    <x v="2"/>
    <x v="11"/>
  </r>
  <r>
    <n v="3"/>
    <d v="2025-03-28T00:00:00"/>
    <s v="Pokemon Vending Machine"/>
    <x v="2"/>
    <m/>
    <n v="4.8600000000000003"/>
    <n v="-3638.1600000000003"/>
    <x v="2"/>
    <x v="11"/>
  </r>
  <r>
    <n v="3"/>
    <d v="2025-03-28T00:00:00"/>
    <s v="Boiling Crab"/>
    <x v="4"/>
    <m/>
    <n v="166.6"/>
    <n v="-3804.76"/>
    <x v="2"/>
    <x v="4"/>
  </r>
  <r>
    <n v="3"/>
    <d v="2025-03-28T00:00:00"/>
    <s v="Target"/>
    <x v="6"/>
    <m/>
    <n v="32.450000000000003"/>
    <n v="-3837.21"/>
    <x v="2"/>
    <x v="6"/>
  </r>
  <r>
    <n v="3"/>
    <d v="2025-03-28T00:00:00"/>
    <s v="Target"/>
    <x v="6"/>
    <m/>
    <n v="54.07"/>
    <n v="-3891.28"/>
    <x v="2"/>
    <x v="6"/>
  </r>
  <r>
    <n v="3"/>
    <d v="2025-03-28T00:00:00"/>
    <s v="Lord Rush"/>
    <x v="2"/>
    <m/>
    <n v="10.82"/>
    <n v="-3902.1000000000004"/>
    <x v="2"/>
    <x v="11"/>
  </r>
  <r>
    <n v="3"/>
    <d v="2025-03-28T00:00:00"/>
    <s v="Dollar Tree"/>
    <x v="6"/>
    <m/>
    <n v="6.5"/>
    <n v="-3908.6000000000004"/>
    <x v="2"/>
    <x v="6"/>
  </r>
  <r>
    <n v="3"/>
    <d v="2025-03-28T00:00:00"/>
    <s v="Best Buy"/>
    <x v="2"/>
    <m/>
    <n v="34.01"/>
    <n v="-3942.6100000000006"/>
    <x v="2"/>
    <x v="11"/>
  </r>
  <r>
    <n v="3"/>
    <d v="2025-03-28T00:00:00"/>
    <s v="Best Buy"/>
    <x v="2"/>
    <m/>
    <n v="4.8499999999999996"/>
    <n v="-3947.4600000000005"/>
    <x v="2"/>
    <x v="11"/>
  </r>
  <r>
    <n v="3"/>
    <d v="2025-03-31T00:00:00"/>
    <s v="Saving Interest"/>
    <x v="8"/>
    <m/>
    <n v="28.39"/>
    <n v="-3975.8500000000004"/>
    <x v="2"/>
    <x v="9"/>
  </r>
  <r>
    <n v="3"/>
    <d v="2025-03-25T00:00:00"/>
    <s v="ZELLE Hailey Yum"/>
    <x v="3"/>
    <n v="-67"/>
    <m/>
    <n v="-4042.8500000000004"/>
    <x v="2"/>
    <x v="3"/>
  </r>
  <r>
    <n v="3"/>
    <d v="2025-03-20T00:00:00"/>
    <s v="Paycheck"/>
    <x v="0"/>
    <n v="627.04999999999995"/>
    <m/>
    <n v="-3415.8"/>
    <x v="2"/>
    <x v="0"/>
  </r>
  <r>
    <n v="3"/>
    <d v="2025-03-25T00:00:00"/>
    <s v="ZELLE Colin"/>
    <x v="3"/>
    <n v="-40"/>
    <m/>
    <n v="-3455.8"/>
    <x v="2"/>
    <x v="3"/>
  </r>
  <r>
    <n v="3"/>
    <d v="2025-03-25T00:00:00"/>
    <s v="Transfer to savings"/>
    <x v="7"/>
    <m/>
    <n v="300"/>
    <n v="-3755.8"/>
    <x v="2"/>
    <x v="9"/>
  </r>
  <r>
    <n v="3"/>
    <d v="2025-03-30T00:00:00"/>
    <s v="Andy's"/>
    <x v="4"/>
    <m/>
    <n v="16.54"/>
    <n v="-3772.34"/>
    <x v="2"/>
    <x v="4"/>
  </r>
  <r>
    <n v="3"/>
    <d v="2025-03-31T00:00:00"/>
    <s v="Amazon"/>
    <x v="6"/>
    <m/>
    <n v="22.61"/>
    <n v="-3794.9500000000003"/>
    <x v="2"/>
    <x v="6"/>
  </r>
  <r>
    <n v="4"/>
    <d v="2025-04-02T00:00:00"/>
    <s v="PAYMENT  00ZW-WNXN-VLZ5_x0009_"/>
    <x v="1"/>
    <m/>
    <n v="629.96"/>
    <n v="-4424.91"/>
    <x v="3"/>
    <x v="1"/>
  </r>
  <r>
    <n v="4"/>
    <d v="2025-04-02T00:00:00"/>
    <s v="Paycheck"/>
    <x v="0"/>
    <n v="220.77"/>
    <m/>
    <n v="-4204.1399999999994"/>
    <x v="3"/>
    <x v="0"/>
  </r>
  <r>
    <n v="4"/>
    <d v="2025-04-04T00:00:00"/>
    <s v="ZELLE Brian"/>
    <x v="0"/>
    <n v="50"/>
    <m/>
    <n v="-4154.1399999999994"/>
    <x v="3"/>
    <x v="10"/>
  </r>
  <r>
    <n v="4"/>
    <d v="2025-04-06T00:00:00"/>
    <s v="ZELLE Colin"/>
    <x v="3"/>
    <n v="-20"/>
    <m/>
    <n v="-4174.1399999999994"/>
    <x v="3"/>
    <x v="3"/>
  </r>
  <r>
    <n v="4"/>
    <d v="2025-04-11T00:00:00"/>
    <s v="ZELLE Colin"/>
    <x v="3"/>
    <n v="-150"/>
    <m/>
    <n v="-4324.1399999999994"/>
    <x v="3"/>
    <x v="3"/>
  </r>
  <r>
    <n v="4"/>
    <d v="2025-04-06T00:00:00"/>
    <s v="ZELLE Jennifer"/>
    <x v="3"/>
    <n v="-65"/>
    <m/>
    <n v="-4389.1399999999994"/>
    <x v="3"/>
    <x v="3"/>
  </r>
  <r>
    <n v="4"/>
    <d v="2025-04-01T00:00:00"/>
    <s v="Barnes &amp; Noble"/>
    <x v="6"/>
    <m/>
    <n v="11.89"/>
    <n v="-4401.03"/>
    <x v="3"/>
    <x v="6"/>
  </r>
  <r>
    <n v="4"/>
    <d v="2025-04-03T00:00:00"/>
    <s v="7-Eleven"/>
    <x v="5"/>
    <m/>
    <n v="51.98"/>
    <n v="-4453.0099999999993"/>
    <x v="3"/>
    <x v="5"/>
  </r>
  <r>
    <n v="4"/>
    <d v="2025-04-04T00:00:00"/>
    <s v="Target"/>
    <x v="6"/>
    <m/>
    <n v="42.52"/>
    <n v="-4495.53"/>
    <x v="3"/>
    <x v="6"/>
  </r>
  <r>
    <n v="4"/>
    <d v="2025-04-05T00:00:00"/>
    <s v="Target"/>
    <x v="6"/>
    <m/>
    <n v="1.94"/>
    <n v="-4497.4699999999993"/>
    <x v="3"/>
    <x v="6"/>
  </r>
  <r>
    <n v="4"/>
    <d v="2025-04-06T00:00:00"/>
    <s v="BREAKAWAY DALLAS Parking"/>
    <x v="6"/>
    <m/>
    <n v="36.5"/>
    <n v="-4533.9699999999993"/>
    <x v="3"/>
    <x v="6"/>
  </r>
  <r>
    <n v="4"/>
    <d v="2025-04-07T00:00:00"/>
    <s v="Piada"/>
    <x v="4"/>
    <m/>
    <n v="9.74"/>
    <n v="-4543.7099999999991"/>
    <x v="3"/>
    <x v="4"/>
  </r>
  <r>
    <n v="4"/>
    <d v="2025-04-08T00:00:00"/>
    <s v="7 Brew"/>
    <x v="4"/>
    <m/>
    <n v="6.06"/>
    <n v="-4549.7699999999995"/>
    <x v="3"/>
    <x v="4"/>
  </r>
  <r>
    <n v="4"/>
    <d v="2025-04-08T00:00:00"/>
    <s v="Bambu Thai"/>
    <x v="4"/>
    <m/>
    <n v="37.049999999999997"/>
    <n v="-4586.82"/>
    <x v="3"/>
    <x v="4"/>
  </r>
  <r>
    <n v="4"/>
    <d v="2025-04-14T00:00:00"/>
    <s v="Panda"/>
    <x v="4"/>
    <m/>
    <n v="8.98"/>
    <n v="-4595.7999999999993"/>
    <x v="3"/>
    <x v="4"/>
  </r>
  <r>
    <n v="4"/>
    <d v="2025-04-14T00:00:00"/>
    <s v="7-Eleven"/>
    <x v="5"/>
    <m/>
    <n v="43.35"/>
    <n v="-4639.1499999999996"/>
    <x v="3"/>
    <x v="5"/>
  </r>
  <r>
    <n v="4"/>
    <d v="2025-04-15T00:00:00"/>
    <s v="Spotify"/>
    <x v="2"/>
    <m/>
    <n v="21.64"/>
    <n v="-4660.79"/>
    <x v="3"/>
    <x v="8"/>
  </r>
  <r>
    <n v="4"/>
    <d v="2025-04-17T00:00:00"/>
    <s v="Driving Record"/>
    <x v="6"/>
    <m/>
    <n v="12"/>
    <n v="-4672.79"/>
    <x v="3"/>
    <x v="6"/>
  </r>
  <r>
    <n v="4"/>
    <d v="2025-04-17T00:00:00"/>
    <s v="SUBTRONICS"/>
    <x v="2"/>
    <m/>
    <n v="64.45"/>
    <n v="-4737.24"/>
    <x v="3"/>
    <x v="2"/>
  </r>
  <r>
    <n v="4"/>
    <d v="2025-04-18T00:00:00"/>
    <s v="Comedy Driving Course"/>
    <x v="6"/>
    <m/>
    <n v="33"/>
    <n v="-4770.24"/>
    <x v="3"/>
    <x v="6"/>
  </r>
  <r>
    <n v="4"/>
    <d v="2025-04-15T00:00:00"/>
    <s v="ZELLE Omar"/>
    <x v="3"/>
    <n v="-30"/>
    <m/>
    <n v="-4800.24"/>
    <x v="3"/>
    <x v="3"/>
  </r>
  <r>
    <n v="4"/>
    <d v="2025-04-17T00:00:00"/>
    <s v="Paycheck"/>
    <x v="0"/>
    <n v="611.33000000000004"/>
    <m/>
    <n v="-4188.91"/>
    <x v="3"/>
    <x v="0"/>
  </r>
  <r>
    <n v="4"/>
    <d v="2025-04-19T00:00:00"/>
    <s v="PAYMENT  00ZW-WWZZ-PWH0_x0009_"/>
    <x v="1"/>
    <m/>
    <n v="381.1"/>
    <n v="-4570.01"/>
    <x v="3"/>
    <x v="1"/>
  </r>
  <r>
    <n v="4"/>
    <d v="2025-04-21T00:00:00"/>
    <s v="7-Eleven"/>
    <x v="5"/>
    <m/>
    <n v="34.74"/>
    <n v="-4604.75"/>
    <x v="3"/>
    <x v="5"/>
  </r>
  <r>
    <n v="4"/>
    <d v="2025-04-21T00:00:00"/>
    <s v="Fortnite"/>
    <x v="2"/>
    <m/>
    <n v="24.42"/>
    <n v="-4629.17"/>
    <x v="3"/>
    <x v="12"/>
  </r>
  <r>
    <n v="4"/>
    <d v="2025-04-21T00:00:00"/>
    <s v="Fortnite"/>
    <x v="2"/>
    <m/>
    <n v="16.93"/>
    <n v="-4646.1000000000004"/>
    <x v="3"/>
    <x v="12"/>
  </r>
  <r>
    <n v="4"/>
    <d v="2025-04-22T00:00:00"/>
    <s v="Pokemon Vending Machine"/>
    <x v="6"/>
    <m/>
    <n v="14.58"/>
    <n v="-4660.68"/>
    <x v="3"/>
    <x v="6"/>
  </r>
  <r>
    <n v="4"/>
    <d v="2025-04-22T00:00:00"/>
    <s v="Pokemon Vending Machine"/>
    <x v="6"/>
    <m/>
    <n v="4.8600000000000003"/>
    <n v="-4665.54"/>
    <x v="3"/>
    <x v="6"/>
  </r>
  <r>
    <n v="4"/>
    <d v="2025-04-22T00:00:00"/>
    <s v="Target"/>
    <x v="6"/>
    <m/>
    <n v="51.63"/>
    <n v="-4717.17"/>
    <x v="3"/>
    <x v="6"/>
  </r>
  <r>
    <n v="4"/>
    <d v="2025-04-22T00:00:00"/>
    <s v="Best Buy"/>
    <x v="6"/>
    <m/>
    <n v="20.56"/>
    <n v="-4737.7300000000005"/>
    <x v="3"/>
    <x v="6"/>
  </r>
  <r>
    <n v="4"/>
    <d v="2025-04-23T00:00:00"/>
    <s v="Target"/>
    <x v="6"/>
    <m/>
    <n v="32.46"/>
    <n v="-4770.1900000000005"/>
    <x v="3"/>
    <x v="6"/>
  </r>
  <r>
    <n v="4"/>
    <d v="2025-04-23T00:00:00"/>
    <s v="Raising Canes"/>
    <x v="4"/>
    <m/>
    <n v="10.6"/>
    <n v="-4780.7900000000009"/>
    <x v="3"/>
    <x v="4"/>
  </r>
  <r>
    <n v="4"/>
    <d v="2025-04-23T00:00:00"/>
    <s v="Piada"/>
    <x v="4"/>
    <m/>
    <n v="9.74"/>
    <n v="-4790.5300000000007"/>
    <x v="3"/>
    <x v="4"/>
  </r>
  <r>
    <n v="4"/>
    <d v="2025-04-24T00:00:00"/>
    <s v="Ulta"/>
    <x v="6"/>
    <m/>
    <n v="34.630000000000003"/>
    <n v="-4825.1600000000008"/>
    <x v="3"/>
    <x v="6"/>
  </r>
  <r>
    <n v="4"/>
    <d v="2025-04-25T00:00:00"/>
    <s v="Walmart"/>
    <x v="6"/>
    <m/>
    <n v="29.21"/>
    <n v="-4854.3700000000008"/>
    <x v="3"/>
    <x v="6"/>
  </r>
  <r>
    <n v="4"/>
    <d v="2025-04-25T00:00:00"/>
    <s v="Walmart"/>
    <x v="6"/>
    <m/>
    <n v="23.79"/>
    <n v="-4878.1600000000008"/>
    <x v="3"/>
    <x v="6"/>
  </r>
  <r>
    <n v="4"/>
    <d v="2025-04-25T00:00:00"/>
    <s v="Pokemon Vending Machine"/>
    <x v="6"/>
    <m/>
    <n v="9.7200000000000006"/>
    <n v="-4887.880000000001"/>
    <x v="3"/>
    <x v="6"/>
  </r>
  <r>
    <n v="4"/>
    <d v="2025-04-27T00:00:00"/>
    <s v="Whataburger"/>
    <x v="4"/>
    <m/>
    <n v="35.35"/>
    <n v="-4923.2300000000014"/>
    <x v="3"/>
    <x v="4"/>
  </r>
  <r>
    <n v="4"/>
    <d v="2025-04-27T00:00:00"/>
    <s v="Tacobell"/>
    <x v="4"/>
    <m/>
    <n v="13.49"/>
    <n v="-4936.7200000000012"/>
    <x v="3"/>
    <x v="4"/>
  </r>
  <r>
    <n v="4"/>
    <d v="2025-04-27T00:00:00"/>
    <s v="Ubbi Dubbi"/>
    <x v="2"/>
    <m/>
    <n v="44"/>
    <n v="-4980.7200000000012"/>
    <x v="3"/>
    <x v="2"/>
  </r>
  <r>
    <n v="4"/>
    <d v="2025-04-28T00:00:00"/>
    <s v="Raising Canes"/>
    <x v="4"/>
    <m/>
    <n v="38.93"/>
    <n v="-5019.6500000000015"/>
    <x v="3"/>
    <x v="4"/>
  </r>
  <r>
    <n v="4"/>
    <d v="2025-04-28T00:00:00"/>
    <s v="FortWorth Parker House Parking"/>
    <x v="2"/>
    <m/>
    <n v="13"/>
    <n v="-5032.6500000000015"/>
    <x v="3"/>
    <x v="2"/>
  </r>
  <r>
    <n v="4"/>
    <d v="2025-04-28T00:00:00"/>
    <s v="FortWorth Parker House Parking"/>
    <x v="2"/>
    <m/>
    <n v="13"/>
    <n v="-5045.6500000000015"/>
    <x v="3"/>
    <x v="2"/>
  </r>
  <r>
    <n v="4"/>
    <d v="2025-04-29T00:00:00"/>
    <s v="7-Eleven"/>
    <x v="5"/>
    <m/>
    <n v="50.3"/>
    <n v="-5095.9500000000016"/>
    <x v="3"/>
    <x v="5"/>
  </r>
  <r>
    <n v="4"/>
    <d v="2025-04-30T00:00:00"/>
    <s v="Fat Straws"/>
    <x v="4"/>
    <m/>
    <n v="10.8"/>
    <n v="-5106.7500000000018"/>
    <x v="3"/>
    <x v="4"/>
  </r>
  <r>
    <n v="4"/>
    <d v="2025-04-30T00:00:00"/>
    <s v="The Backyard"/>
    <x v="4"/>
    <m/>
    <n v="55.27"/>
    <n v="-5162.0200000000023"/>
    <x v="3"/>
    <x v="4"/>
  </r>
  <r>
    <n v="4"/>
    <d v="2025-04-18T00:00:00"/>
    <s v="Yummy Thai"/>
    <x v="4"/>
    <m/>
    <n v="16.54"/>
    <n v="-5178.5600000000022"/>
    <x v="3"/>
    <x v="4"/>
  </r>
  <r>
    <n v="4"/>
    <d v="2025-04-30T00:00:00"/>
    <s v="Saving Interest"/>
    <x v="8"/>
    <m/>
    <n v="27"/>
    <n v="-5205.5600000000022"/>
    <x v="3"/>
    <x v="9"/>
  </r>
  <r>
    <n v="4"/>
    <d v="2025-04-25T00:00:00"/>
    <s v="ZELLE MAAZ"/>
    <x v="3"/>
    <n v="-58"/>
    <m/>
    <n v="-5236.5600000000022"/>
    <x v="3"/>
    <x v="3"/>
  </r>
  <r>
    <n v="5"/>
    <d v="2025-05-01T00:00:00"/>
    <s v="Paycheck"/>
    <x v="0"/>
    <n v="672.55"/>
    <m/>
    <n v="-4564.010000000002"/>
    <x v="4"/>
    <x v="0"/>
  </r>
  <r>
    <n v="5"/>
    <d v="2025-05-03T00:00:00"/>
    <s v="PAYMENT  00ZW-WZND-NDCQ_x0009_"/>
    <x v="1"/>
    <m/>
    <n v="608.54999999999995"/>
    <n v="-5172.5600000000022"/>
    <x v="4"/>
    <x v="1"/>
  </r>
  <r>
    <n v="5"/>
    <d v="2025-05-02T00:00:00"/>
    <s v="Copart Chop Shop Kitchen"/>
    <x v="4"/>
    <m/>
    <n v="9.74"/>
    <n v="-5182.300000000002"/>
    <x v="4"/>
    <x v="4"/>
  </r>
  <r>
    <n v="5"/>
    <d v="2025-05-04T00:00:00"/>
    <s v="CVS"/>
    <x v="6"/>
    <m/>
    <n v="37.880000000000003"/>
    <n v="-5220.1800000000021"/>
    <x v="4"/>
    <x v="6"/>
  </r>
  <r>
    <n v="5"/>
    <d v="2025-05-05T00:00:00"/>
    <s v="Chick Fil A"/>
    <x v="4"/>
    <m/>
    <n v="9.15"/>
    <n v="-5229.3300000000017"/>
    <x v="4"/>
    <x v="4"/>
  </r>
  <r>
    <n v="5"/>
    <d v="2025-05-05T00:00:00"/>
    <s v="SnapChat"/>
    <x v="2"/>
    <m/>
    <n v="1.07"/>
    <n v="-5230.4000000000015"/>
    <x v="4"/>
    <x v="8"/>
  </r>
  <r>
    <n v="5"/>
    <d v="2025-05-04T00:00:00"/>
    <s v="ZELLE Colin"/>
    <x v="0"/>
    <n v="20"/>
    <m/>
    <n v="-5210.4000000000015"/>
    <x v="4"/>
    <x v="10"/>
  </r>
  <r>
    <n v="5"/>
    <d v="2025-05-08T00:00:00"/>
    <s v="ZELLE Farhad"/>
    <x v="3"/>
    <n v="-107"/>
    <m/>
    <n v="-5317.4000000000015"/>
    <x v="4"/>
    <x v="3"/>
  </r>
  <r>
    <n v="5"/>
    <d v="2025-05-07T00:00:00"/>
    <s v="Jersey Mikes"/>
    <x v="4"/>
    <m/>
    <n v="11.1"/>
    <n v="-5328.5000000000018"/>
    <x v="4"/>
    <x v="4"/>
  </r>
  <r>
    <n v="5"/>
    <d v="2025-05-08T00:00:00"/>
    <s v="Walmart"/>
    <x v="6"/>
    <m/>
    <n v="17.12"/>
    <n v="-5345.6200000000017"/>
    <x v="4"/>
    <x v="6"/>
  </r>
  <r>
    <n v="5"/>
    <d v="2025-05-08T00:00:00"/>
    <s v="7-Eleven"/>
    <x v="6"/>
    <m/>
    <n v="48.3"/>
    <n v="-5393.9200000000019"/>
    <x v="4"/>
    <x v="6"/>
  </r>
  <r>
    <n v="5"/>
    <d v="2025-05-15T00:00:00"/>
    <s v="Spotify"/>
    <x v="2"/>
    <m/>
    <n v="21.64"/>
    <n v="-5415.5600000000022"/>
    <x v="4"/>
    <x v="8"/>
  </r>
  <r>
    <n v="5"/>
    <d v="2025-05-15T00:00:00"/>
    <s v="Paycheck"/>
    <x v="0"/>
    <n v="651.53"/>
    <m/>
    <n v="-4764.0300000000025"/>
    <x v="4"/>
    <x v="0"/>
  </r>
  <r>
    <n v="5"/>
    <d v="2025-05-18T00:00:00"/>
    <s v="PAYMENT  00ZW-X2BM-CQD1_x0009__x0009_"/>
    <x v="1"/>
    <m/>
    <n v="156"/>
    <n v="-4920.0300000000025"/>
    <x v="4"/>
    <x v="1"/>
  </r>
  <r>
    <n v="5"/>
    <d v="2025-05-18T00:00:00"/>
    <s v="Transfer to savings"/>
    <x v="7"/>
    <m/>
    <n v="250"/>
    <n v="-5170.0300000000025"/>
    <x v="4"/>
    <x v="9"/>
  </r>
  <r>
    <n v="5"/>
    <d v="2025-05-15T00:00:00"/>
    <s v="Ulta"/>
    <x v="6"/>
    <m/>
    <n v="10.28"/>
    <n v="-5180.3100000000022"/>
    <x v="4"/>
    <x v="6"/>
  </r>
  <r>
    <n v="5"/>
    <d v="2025-05-16T00:00:00"/>
    <s v="Target"/>
    <x v="2"/>
    <m/>
    <n v="108.24"/>
    <n v="-5288.550000000002"/>
    <x v="4"/>
    <x v="11"/>
  </r>
  <r>
    <n v="5"/>
    <d v="2025-05-16T00:00:00"/>
    <s v="Gyro Shop"/>
    <x v="4"/>
    <m/>
    <n v="47.23"/>
    <n v="-5335.7800000000016"/>
    <x v="4"/>
    <x v="4"/>
  </r>
  <r>
    <n v="5"/>
    <d v="2025-05-18T00:00:00"/>
    <s v="SnapChat"/>
    <x v="2"/>
    <m/>
    <n v="1.07"/>
    <n v="-5336.8500000000013"/>
    <x v="4"/>
    <x v="8"/>
  </r>
  <r>
    <n v="5"/>
    <d v="2025-05-17T00:00:00"/>
    <s v="7-Eleven"/>
    <x v="5"/>
    <m/>
    <n v="47.57"/>
    <n v="-5384.420000000001"/>
    <x v="4"/>
    <x v="5"/>
  </r>
  <r>
    <n v="5"/>
    <d v="2025-05-22T00:00:00"/>
    <s v="Chop Shop"/>
    <x v="4"/>
    <m/>
    <n v="9.74"/>
    <n v="-5394.1600000000008"/>
    <x v="4"/>
    <x v="4"/>
  </r>
  <r>
    <n v="5"/>
    <d v="2025-05-23T00:00:00"/>
    <s v="VENMO"/>
    <x v="6"/>
    <m/>
    <n v="257.5"/>
    <n v="-5651.6600000000008"/>
    <x v="4"/>
    <x v="6"/>
  </r>
  <r>
    <n v="5"/>
    <d v="2025-05-23T00:00:00"/>
    <s v="Tacobell"/>
    <x v="4"/>
    <m/>
    <n v="18.600000000000001"/>
    <n v="-5670.2600000000011"/>
    <x v="4"/>
    <x v="4"/>
  </r>
  <r>
    <n v="5"/>
    <d v="2025-05-25T00:00:00"/>
    <s v="SnapChat"/>
    <x v="2"/>
    <m/>
    <n v="1.07"/>
    <n v="-5671.3300000000008"/>
    <x v="4"/>
    <x v="8"/>
  </r>
  <r>
    <n v="5"/>
    <d v="2025-05-27T00:00:00"/>
    <s v="ALASKA SHIRT"/>
    <x v="6"/>
    <m/>
    <n v="39.71"/>
    <n v="-5711.0400000000009"/>
    <x v="4"/>
    <x v="6"/>
  </r>
  <r>
    <n v="5"/>
    <d v="2025-05-29T00:00:00"/>
    <s v="TONGASS TRADING"/>
    <x v="6"/>
    <m/>
    <n v="44.23"/>
    <n v="-5755.27"/>
    <x v="4"/>
    <x v="6"/>
  </r>
  <r>
    <n v="5"/>
    <d v="2025-05-30T00:00:00"/>
    <s v="OCEAN SIDE GIFTS VICTORIA"/>
    <x v="6"/>
    <m/>
    <n v="42.1"/>
    <n v="-5797.3700000000008"/>
    <x v="4"/>
    <x v="6"/>
  </r>
  <r>
    <n v="5"/>
    <d v="2025-05-31T00:00:00"/>
    <s v="BMW Dallas Marathon"/>
    <x v="6"/>
    <m/>
    <n v="155.94"/>
    <n v="-5953.31"/>
    <x v="4"/>
    <x v="6"/>
  </r>
  <r>
    <n v="5"/>
    <d v="2025-05-29T00:00:00"/>
    <s v="Paycheck"/>
    <x v="0"/>
    <n v="520.69000000000005"/>
    <m/>
    <n v="-5432.6200000000008"/>
    <x v="4"/>
    <x v="0"/>
  </r>
  <r>
    <n v="5"/>
    <d v="2025-05-31T00:00:00"/>
    <s v="Saving Interest"/>
    <x v="8"/>
    <m/>
    <n v="28.01"/>
    <n v="-5460.630000000001"/>
    <x v="4"/>
    <x v="9"/>
  </r>
  <r>
    <n v="6"/>
    <d v="2025-06-02T00:00:00"/>
    <s v="ZELLE Terrence"/>
    <x v="3"/>
    <n v="-30"/>
    <m/>
    <n v="-5490.630000000001"/>
    <x v="5"/>
    <x v="3"/>
  </r>
  <r>
    <n v="6"/>
    <d v="2025-06-03T00:00:00"/>
    <s v="PAYMENT  00ZW-X7D6-HBJY_x0009_"/>
    <x v="1"/>
    <m/>
    <n v="783.28"/>
    <n v="-6273.9100000000008"/>
    <x v="5"/>
    <x v="1"/>
  </r>
  <r>
    <n v="6"/>
    <d v="2025-06-02T00:00:00"/>
    <s v="BUNT TICKETS"/>
    <x v="2"/>
    <m/>
    <n v="85.14"/>
    <n v="-6359.0500000000011"/>
    <x v="5"/>
    <x v="2"/>
  </r>
  <r>
    <n v="6"/>
    <d v="2025-06-02T00:00:00"/>
    <s v="7-Eleven"/>
    <x v="5"/>
    <m/>
    <n v="32.11"/>
    <n v="-6306.02"/>
    <x v="5"/>
    <x v="5"/>
  </r>
  <r>
    <n v="6"/>
    <d v="2025-06-04T00:00:00"/>
    <s v="Sonic"/>
    <x v="4"/>
    <m/>
    <n v="6.26"/>
    <n v="-6280.170000000001"/>
    <x v="5"/>
    <x v="4"/>
  </r>
  <r>
    <n v="6"/>
    <d v="2025-06-06T00:00:00"/>
    <s v="Tutugether"/>
    <x v="2"/>
    <m/>
    <n v="109.55"/>
    <n v="-6389.7200000000012"/>
    <x v="5"/>
    <x v="7"/>
  </r>
  <r>
    <n v="6"/>
    <d v="2025-06-06T00:00:00"/>
    <s v="Happy Lemon"/>
    <x v="4"/>
    <m/>
    <n v="28.04"/>
    <n v="-6417.7600000000011"/>
    <x v="5"/>
    <x v="4"/>
  </r>
  <r>
    <n v="6"/>
    <d v="2025-06-06T00:00:00"/>
    <s v="Best Buy"/>
    <x v="2"/>
    <m/>
    <n v="101.66"/>
    <n v="-6519.420000000001"/>
    <x v="5"/>
    <x v="11"/>
  </r>
  <r>
    <n v="6"/>
    <d v="2025-06-06T00:00:00"/>
    <s v="Jinya Carrolton"/>
    <x v="4"/>
    <m/>
    <n v="34"/>
    <n v="-6553.420000000001"/>
    <x v="5"/>
    <x v="4"/>
  </r>
  <r>
    <n v="6"/>
    <d v="2025-06-09T00:00:00"/>
    <s v="Pokemon Vending Machine"/>
    <x v="2"/>
    <m/>
    <n v="9.7200000000000006"/>
    <n v="-6563.1400000000012"/>
    <x v="5"/>
    <x v="11"/>
  </r>
  <r>
    <n v="6"/>
    <d v="2025-06-09T00:00:00"/>
    <s v="Target"/>
    <x v="6"/>
    <m/>
    <n v="16.23"/>
    <n v="-6579.3700000000008"/>
    <x v="5"/>
    <x v="6"/>
  </r>
  <r>
    <n v="6"/>
    <d v="2025-06-09T00:00:00"/>
    <s v="Target"/>
    <x v="6"/>
    <m/>
    <n v="10.81"/>
    <n v="-6590.1800000000012"/>
    <x v="5"/>
    <x v="6"/>
  </r>
  <r>
    <n v="6"/>
    <d v="2025-06-09T00:00:00"/>
    <s v="7-Eleven"/>
    <x v="5"/>
    <m/>
    <n v="43.68"/>
    <n v="-6633.8600000000015"/>
    <x v="5"/>
    <x v="5"/>
  </r>
  <r>
    <n v="6"/>
    <d v="2025-06-10T00:00:00"/>
    <s v="Tiger Sugar"/>
    <x v="4"/>
    <m/>
    <n v="15.16"/>
    <n v="-6649.0200000000013"/>
    <x v="5"/>
    <x v="4"/>
  </r>
  <r>
    <n v="6"/>
    <d v="2025-06-10T00:00:00"/>
    <s v="Target"/>
    <x v="6"/>
    <m/>
    <n v="32.450000000000003"/>
    <n v="-6681.4700000000012"/>
    <x v="5"/>
    <x v="6"/>
  </r>
  <r>
    <n v="6"/>
    <d v="2025-06-12T00:00:00"/>
    <s v="Paycheck"/>
    <x v="0"/>
    <n v="485.72"/>
    <m/>
    <n v="-6195.7500000000009"/>
    <x v="5"/>
    <x v="0"/>
  </r>
  <r>
    <n v="6"/>
    <d v="2025-06-13T00:00:00"/>
    <s v="Chipotle"/>
    <x v="4"/>
    <m/>
    <n v="10.28"/>
    <n v="-6691.7500000000009"/>
    <x v="5"/>
    <x v="4"/>
  </r>
  <r>
    <n v="6"/>
    <d v="2025-06-15T00:00:00"/>
    <s v="Spotify"/>
    <x v="2"/>
    <m/>
    <n v="21.64"/>
    <n v="-6713.3900000000012"/>
    <x v="5"/>
    <x v="8"/>
  </r>
  <r>
    <n v="6"/>
    <d v="2025-06-15T00:00:00"/>
    <s v="Amazon"/>
    <x v="6"/>
    <m/>
    <n v="54.81"/>
    <n v="-6768.2000000000016"/>
    <x v="5"/>
    <x v="6"/>
  </r>
  <r>
    <n v="6"/>
    <d v="2025-06-16T00:00:00"/>
    <s v="Target"/>
    <x v="6"/>
    <m/>
    <n v="15.14"/>
    <n v="-6783.340000000002"/>
    <x v="5"/>
    <x v="6"/>
  </r>
  <r>
    <n v="6"/>
    <d v="2025-06-17T00:00:00"/>
    <s v="PAYMENT  00ZW-XB3P-DQ7J_x0009_"/>
    <x v="1"/>
    <m/>
    <n v="556.73"/>
    <n v="-7340.0700000000015"/>
    <x v="5"/>
    <x v="1"/>
  </r>
  <r>
    <n v="6"/>
    <d v="2025-06-17T00:00:00"/>
    <s v="Thread Salon"/>
    <x v="6"/>
    <m/>
    <n v="11"/>
    <n v="-7351.0700000000015"/>
    <x v="5"/>
    <x v="6"/>
  </r>
  <r>
    <n v="6"/>
    <d v="2025-06-17T00:00:00"/>
    <s v="7-Eleven"/>
    <x v="5"/>
    <m/>
    <n v="49.38"/>
    <n v="-7400.4500000000016"/>
    <x v="5"/>
    <x v="5"/>
  </r>
  <r>
    <n v="6"/>
    <d v="2025-06-19T00:00:00"/>
    <s v="Chick Fil A"/>
    <x v="4"/>
    <m/>
    <n v="8.5"/>
    <n v="-7408.9500000000016"/>
    <x v="5"/>
    <x v="4"/>
  </r>
  <r>
    <n v="6"/>
    <d v="2025-06-22T00:00:00"/>
    <s v="STEAM Peak"/>
    <x v="2"/>
    <m/>
    <n v="5.36"/>
    <n v="-7414.3100000000013"/>
    <x v="5"/>
    <x v="12"/>
  </r>
  <r>
    <n v="6"/>
    <d v="2025-06-22T00:00:00"/>
    <s v="STEAM Peak"/>
    <x v="2"/>
    <m/>
    <n v="5.36"/>
    <n v="-7419.670000000001"/>
    <x v="5"/>
    <x v="12"/>
  </r>
  <r>
    <n v="6"/>
    <d v="2025-06-24T00:00:00"/>
    <s v="Nuevo Taco"/>
    <x v="4"/>
    <m/>
    <n v="16.079999999999998"/>
    <n v="-7435.7500000000009"/>
    <x v="5"/>
    <x v="4"/>
  </r>
  <r>
    <n v="6"/>
    <d v="2025-06-25T00:00:00"/>
    <s v="Ulta"/>
    <x v="6"/>
    <m/>
    <n v="12.99"/>
    <n v="-7448.7400000000007"/>
    <x v="5"/>
    <x v="6"/>
  </r>
  <r>
    <n v="6"/>
    <d v="2025-06-25T00:00:00"/>
    <s v="Target"/>
    <x v="6"/>
    <m/>
    <n v="42.74"/>
    <n v="-7491.4800000000005"/>
    <x v="5"/>
    <x v="6"/>
  </r>
  <r>
    <n v="6"/>
    <d v="2025-06-26T00:00:00"/>
    <s v="Target"/>
    <x v="6"/>
    <m/>
    <n v="28.28"/>
    <n v="-7519.76"/>
    <x v="5"/>
    <x v="6"/>
  </r>
  <r>
    <n v="6"/>
    <d v="2025-06-26T00:00:00"/>
    <s v="7-Eleven"/>
    <x v="5"/>
    <m/>
    <n v="44.65"/>
    <n v="-7564.41"/>
    <x v="5"/>
    <x v="5"/>
  </r>
  <r>
    <n v="6"/>
    <d v="2025-06-27T00:00:00"/>
    <s v="UBER"/>
    <x v="6"/>
    <m/>
    <n v="4.99"/>
    <n v="-7569.4"/>
    <x v="5"/>
    <x v="6"/>
  </r>
  <r>
    <n v="6"/>
    <d v="2025-06-27T00:00:00"/>
    <s v="Starbucks"/>
    <x v="4"/>
    <m/>
    <n v="1.62"/>
    <n v="-7571.0199999999995"/>
    <x v="5"/>
    <x v="4"/>
  </r>
  <r>
    <n v="6"/>
    <d v="2025-06-27T00:00:00"/>
    <s v="Mochinut"/>
    <x v="4"/>
    <m/>
    <n v="23.93"/>
    <n v="-7594.95"/>
    <x v="5"/>
    <x v="4"/>
  </r>
  <r>
    <n v="6"/>
    <d v="2025-06-27T00:00:00"/>
    <s v="Best Buy"/>
    <x v="2"/>
    <m/>
    <n v="23.8"/>
    <n v="-7618.75"/>
    <x v="5"/>
    <x v="11"/>
  </r>
  <r>
    <n v="6"/>
    <d v="2025-06-27T00:00:00"/>
    <s v="Barnes &amp; Noble"/>
    <x v="2"/>
    <m/>
    <n v="37.880000000000003"/>
    <n v="-7656.63"/>
    <x v="5"/>
    <x v="11"/>
  </r>
  <r>
    <n v="6"/>
    <d v="2025-06-27T00:00:00"/>
    <s v="Barnes &amp; Noble"/>
    <x v="2"/>
    <m/>
    <n v="23.8"/>
    <n v="-7680.43"/>
    <x v="5"/>
    <x v="11"/>
  </r>
  <r>
    <n v="6"/>
    <d v="2025-06-28T00:00:00"/>
    <s v="Pokemon Center"/>
    <x v="2"/>
    <m/>
    <n v="64.94"/>
    <n v="-7745.37"/>
    <x v="5"/>
    <x v="11"/>
  </r>
  <r>
    <n v="6"/>
    <d v="2025-06-28T00:00:00"/>
    <s v="Plomo Quesadilla"/>
    <x v="4"/>
    <m/>
    <n v="14.06"/>
    <n v="-7759.43"/>
    <x v="5"/>
    <x v="4"/>
  </r>
  <r>
    <n v="6"/>
    <d v="2025-06-29T00:00:00"/>
    <s v="Popmart"/>
    <x v="2"/>
    <m/>
    <n v="21.64"/>
    <n v="-7781.0700000000006"/>
    <x v="5"/>
    <x v="7"/>
  </r>
  <r>
    <n v="6"/>
    <d v="2025-06-29T00:00:00"/>
    <s v="American Cookie"/>
    <x v="4"/>
    <m/>
    <n v="7.77"/>
    <n v="-7788.8400000000011"/>
    <x v="5"/>
    <x v="4"/>
  </r>
  <r>
    <n v="6"/>
    <d v="2025-06-30T00:00:00"/>
    <s v="La La Land"/>
    <x v="4"/>
    <m/>
    <n v="16.03"/>
    <n v="-7804.8700000000008"/>
    <x v="5"/>
    <x v="4"/>
  </r>
  <r>
    <n v="6"/>
    <d v="2025-06-26T00:00:00"/>
    <s v="Paycheck"/>
    <x v="0"/>
    <n v="926.74"/>
    <m/>
    <n v="-6878.130000000001"/>
    <x v="5"/>
    <x v="0"/>
  </r>
  <r>
    <n v="6"/>
    <d v="2025-06-26T00:00:00"/>
    <s v="ZELLE Hailey Yum"/>
    <x v="3"/>
    <n v="-20"/>
    <m/>
    <n v="-6898.130000000001"/>
    <x v="5"/>
    <x v="3"/>
  </r>
  <r>
    <n v="6"/>
    <d v="2025-06-29T00:00:00"/>
    <s v="ZELLE Terrence"/>
    <x v="3"/>
    <n v="-10"/>
    <m/>
    <n v="-6908.130000000001"/>
    <x v="5"/>
    <x v="3"/>
  </r>
  <r>
    <n v="6"/>
    <d v="2025-06-30T00:00:00"/>
    <s v="Saving Interest"/>
    <x v="8"/>
    <m/>
    <n v="27.28"/>
    <n v="-6935.4100000000008"/>
    <x v="5"/>
    <x v="9"/>
  </r>
  <r>
    <n v="6"/>
    <d v="2025-06-29T00:00:00"/>
    <s v="ZELLE Chiayi"/>
    <x v="0"/>
    <n v="6.5"/>
    <m/>
    <n v="-6901.630000000001"/>
    <x v="5"/>
    <x v="10"/>
  </r>
  <r>
    <n v="7"/>
    <d v="2025-07-02T00:00:00"/>
    <s v="Texas Roadhouse"/>
    <x v="4"/>
    <m/>
    <n v="69.06"/>
    <n v="-6970.6900000000014"/>
    <x v="6"/>
    <x v="4"/>
  </r>
  <r>
    <n v="7"/>
    <d v="2025-07-04T00:00:00"/>
    <s v="PAYMENT  00ZW-XJ60-B3WZ_x0009__x0009_"/>
    <x v="1"/>
    <m/>
    <n v="603.80999999999995"/>
    <n v="-7574.5000000000018"/>
    <x v="6"/>
    <x v="1"/>
  </r>
  <r>
    <n v="7"/>
    <d v="2025-07-07T00:00:00"/>
    <s v="7-Eleven"/>
    <x v="5"/>
    <m/>
    <n v="42.34"/>
    <n v="-7616.840000000002"/>
    <x v="6"/>
    <x v="5"/>
  </r>
  <r>
    <n v="7"/>
    <d v="2025-07-10T00:00:00"/>
    <s v="Paycheck"/>
    <x v="0"/>
    <n v="948.01"/>
    <m/>
    <n v="-6668.8300000000017"/>
    <x v="6"/>
    <x v="0"/>
  </r>
  <r>
    <n v="7"/>
    <d v="2025-07-07T00:00:00"/>
    <s v="7-Eleven"/>
    <x v="5"/>
    <m/>
    <n v="4.96"/>
    <n v="-6673.7900000000018"/>
    <x v="6"/>
    <x v="5"/>
  </r>
  <r>
    <n v="7"/>
    <d v="2025-07-10T00:00:00"/>
    <s v="Barnes &amp; Noble"/>
    <x v="2"/>
    <m/>
    <n v="23.8"/>
    <n v="-6697.590000000002"/>
    <x v="6"/>
    <x v="11"/>
  </r>
  <r>
    <n v="7"/>
    <d v="2025-07-11T00:00:00"/>
    <s v="Kaitlyn's WHS Parking"/>
    <x v="6"/>
    <m/>
    <n v="37.5"/>
    <n v="-6735.090000000002"/>
    <x v="6"/>
    <x v="6"/>
  </r>
  <r>
    <n v="7"/>
    <d v="2025-07-16T00:00:00"/>
    <s v="PAYMENT  00ZW-XMW2-N719_x0009_"/>
    <x v="1"/>
    <m/>
    <n v="108.6"/>
    <n v="-6843.6900000000023"/>
    <x v="6"/>
    <x v="1"/>
  </r>
  <r>
    <n v="7"/>
    <d v="2025-07-20T00:00:00"/>
    <s v="ZELLE Mom: Car Insurance"/>
    <x v="3"/>
    <n v="-775"/>
    <m/>
    <n v="-7618.6900000000023"/>
    <x v="6"/>
    <x v="3"/>
  </r>
  <r>
    <n v="7"/>
    <d v="2025-07-20T00:00:00"/>
    <s v="Best Buy"/>
    <x v="3"/>
    <n v="-157.44999999999999"/>
    <m/>
    <n v="-7776.1400000000021"/>
    <x v="6"/>
    <x v="3"/>
  </r>
  <r>
    <n v="7"/>
    <d v="2025-07-20T00:00:00"/>
    <s v="Target"/>
    <x v="3"/>
    <n v="-51.94"/>
    <m/>
    <n v="-7828.0800000000017"/>
    <x v="6"/>
    <x v="3"/>
  </r>
  <r>
    <n v="7"/>
    <d v="2025-07-15T00:00:00"/>
    <s v="Spotify"/>
    <x v="2"/>
    <m/>
    <n v="21.64"/>
    <n v="-7849.7200000000021"/>
    <x v="6"/>
    <x v="8"/>
  </r>
  <r>
    <n v="7"/>
    <d v="2025-07-16T00:00:00"/>
    <s v="Chop Shop"/>
    <x v="4"/>
    <m/>
    <n v="9.74"/>
    <n v="-7859.4600000000019"/>
    <x v="6"/>
    <x v="4"/>
  </r>
  <r>
    <n v="7"/>
    <d v="2025-07-17T00:00:00"/>
    <s v="7-Eleven"/>
    <x v="5"/>
    <m/>
    <n v="44.03"/>
    <n v="-7903.4900000000016"/>
    <x v="6"/>
    <x v="5"/>
  </r>
  <r>
    <n v="7"/>
    <d v="2025-07-18T00:00:00"/>
    <s v="Target"/>
    <x v="2"/>
    <m/>
    <n v="51.94"/>
    <n v="-7955.4300000000012"/>
    <x v="6"/>
    <x v="11"/>
  </r>
  <r>
    <n v="7"/>
    <d v="2025-07-18T00:00:00"/>
    <s v="Best Buy"/>
    <x v="2"/>
    <m/>
    <n v="231.04"/>
    <n v="-8186.4700000000012"/>
    <x v="6"/>
    <x v="11"/>
  </r>
  <r>
    <n v="7"/>
    <d v="2025-07-19T00:00:00"/>
    <s v="Trader Joes"/>
    <x v="6"/>
    <m/>
    <n v="16.21"/>
    <n v="-8202.68"/>
    <x v="6"/>
    <x v="6"/>
  </r>
  <r>
    <n v="7"/>
    <d v="2025-07-19T00:00:00"/>
    <s v="Andy's"/>
    <x v="4"/>
    <m/>
    <n v="14"/>
    <n v="-8216.68"/>
    <x v="6"/>
    <x v="4"/>
  </r>
  <r>
    <n v="7"/>
    <d v="2025-07-24T00:00:00"/>
    <s v="Paycheck"/>
    <x v="0"/>
    <n v="955.3"/>
    <m/>
    <n v="-7261.38"/>
    <x v="6"/>
    <x v="0"/>
  </r>
  <r>
    <n v="7"/>
    <d v="2025-07-25T00:00:00"/>
    <s v="7-Eleven"/>
    <x v="5"/>
    <m/>
    <n v="47.73"/>
    <n v="-8264.41"/>
    <x v="6"/>
    <x v="5"/>
  </r>
  <r>
    <n v="7"/>
    <d v="2025-07-26T00:00:00"/>
    <s v="Murphy Express Snacks"/>
    <x v="4"/>
    <m/>
    <n v="11.66"/>
    <n v="-8276.07"/>
    <x v="6"/>
    <x v="4"/>
  </r>
  <r>
    <n v="7"/>
    <d v="2025-07-26T00:00:00"/>
    <s v="Torchys"/>
    <x v="4"/>
    <m/>
    <n v="22.64"/>
    <n v="-8298.7099999999991"/>
    <x v="6"/>
    <x v="4"/>
  </r>
  <r>
    <n v="7"/>
    <d v="2025-07-26T00:00:00"/>
    <s v="Torchys"/>
    <x v="4"/>
    <m/>
    <n v="6.06"/>
    <n v="-8304.7699999999986"/>
    <x v="6"/>
    <x v="4"/>
  </r>
  <r>
    <n v="7"/>
    <d v="2025-07-27T00:00:00"/>
    <s v="Chipotle"/>
    <x v="4"/>
    <m/>
    <n v="10.28"/>
    <n v="-8315.0499999999993"/>
    <x v="6"/>
    <x v="4"/>
  </r>
  <r>
    <n v="7"/>
    <d v="2025-07-29T00:00:00"/>
    <s v="Pokemon Center"/>
    <x v="2"/>
    <m/>
    <n v="25.92"/>
    <n v="-8340.9699999999993"/>
    <x v="6"/>
    <x v="11"/>
  </r>
  <r>
    <n v="7"/>
    <d v="2025-07-31T00:00:00"/>
    <s v="KAI WACHI"/>
    <x v="2"/>
    <m/>
    <n v="42.57"/>
    <n v="-8383.5399999999991"/>
    <x v="6"/>
    <x v="2"/>
  </r>
  <r>
    <n v="7"/>
    <d v="2025-07-31T00:00:00"/>
    <s v="PAYMENT  00ZW-XVWZ-YP9N_x0009__x0009__x0009_"/>
    <x v="1"/>
    <m/>
    <n v="486.97"/>
    <n v="-8870.5099999999984"/>
    <x v="6"/>
    <x v="1"/>
  </r>
  <r>
    <n v="7"/>
    <d v="2025-07-31T00:00:00"/>
    <s v="Transfer to savings"/>
    <x v="7"/>
    <m/>
    <n v="500"/>
    <n v="-9370.5099999999984"/>
    <x v="6"/>
    <x v="9"/>
  </r>
  <r>
    <n v="7"/>
    <d v="2025-07-31T00:00:00"/>
    <s v="Saving Interest"/>
    <x v="8"/>
    <m/>
    <n v="27.65"/>
    <n v="-9398.159999999998"/>
    <x v="6"/>
    <x v="9"/>
  </r>
  <r>
    <n v="8"/>
    <d v="2025-08-01T00:00:00"/>
    <s v="7-Eleven"/>
    <x v="5"/>
    <m/>
    <n v="35.159999999999997"/>
    <n v="-9433.3199999999979"/>
    <x v="7"/>
    <x v="5"/>
  </r>
  <r>
    <n v="8"/>
    <d v="2025-08-02T00:00:00"/>
    <s v="SnapChat"/>
    <x v="6"/>
    <m/>
    <n v="1.07"/>
    <n v="-9434.3899999999976"/>
    <x v="7"/>
    <x v="6"/>
  </r>
  <r>
    <n v="8"/>
    <d v="2025-08-02T00:00:00"/>
    <s v="SnapChat"/>
    <x v="6"/>
    <m/>
    <n v="1.07"/>
    <n v="-9435.4599999999973"/>
    <x v="7"/>
    <x v="6"/>
  </r>
  <r>
    <n v="8"/>
    <d v="2025-08-03T00:00:00"/>
    <s v="Kyuramen"/>
    <x v="4"/>
    <m/>
    <n v="72.72"/>
    <n v="-9508.1799999999967"/>
    <x v="7"/>
    <x v="4"/>
  </r>
  <r>
    <n v="8"/>
    <d v="2025-08-03T00:00:00"/>
    <s v="Whataburger"/>
    <x v="4"/>
    <m/>
    <n v="25"/>
    <n v="-9533.1799999999967"/>
    <x v="7"/>
    <x v="4"/>
  </r>
  <r>
    <n v="8"/>
    <d v="2025-08-04T00:00:00"/>
    <s v="Lord Rush"/>
    <x v="2"/>
    <m/>
    <n v="108.25"/>
    <n v="-9641.4299999999967"/>
    <x v="7"/>
    <x v="11"/>
  </r>
  <r>
    <n v="8"/>
    <d v="2025-08-06T00:00:00"/>
    <s v="Cava"/>
    <x v="4"/>
    <m/>
    <n v="12.07"/>
    <n v="-9653.4999999999964"/>
    <x v="7"/>
    <x v="4"/>
  </r>
  <r>
    <n v="8"/>
    <d v="2025-08-08T00:00:00"/>
    <s v="Whataburger"/>
    <x v="4"/>
    <m/>
    <n v="4.7"/>
    <n v="-9658.1999999999971"/>
    <x v="7"/>
    <x v="4"/>
  </r>
  <r>
    <n v="8"/>
    <d v="2025-08-08T00:00:00"/>
    <s v="Tutugether"/>
    <x v="2"/>
    <m/>
    <n v="219.1"/>
    <n v="-9877.2999999999975"/>
    <x v="7"/>
    <x v="7"/>
  </r>
  <r>
    <n v="8"/>
    <d v="2025-08-08T00:00:00"/>
    <s v="Dutch Bros"/>
    <x v="4"/>
    <m/>
    <n v="19.11"/>
    <n v="-9896.409999999998"/>
    <x v="7"/>
    <x v="4"/>
  </r>
  <r>
    <n v="8"/>
    <d v="2025-08-10T00:00:00"/>
    <s v="Paris Baguette"/>
    <x v="4"/>
    <m/>
    <n v="13.17"/>
    <n v="-9909.5799999999981"/>
    <x v="7"/>
    <x v="4"/>
  </r>
  <r>
    <n v="8"/>
    <d v="2025-08-10T00:00:00"/>
    <s v="Medieval Times"/>
    <x v="2"/>
    <m/>
    <n v="137.94"/>
    <n v="-10047.519999999999"/>
    <x v="7"/>
    <x v="7"/>
  </r>
  <r>
    <n v="8"/>
    <d v="2025-08-10T00:00:00"/>
    <s v="Carrolton Gift Shop"/>
    <x v="6"/>
    <m/>
    <n v="53.03"/>
    <n v="-10100.549999999999"/>
    <x v="7"/>
    <x v="6"/>
  </r>
  <r>
    <n v="8"/>
    <d v="2025-08-10T00:00:00"/>
    <s v="CVS"/>
    <x v="6"/>
    <m/>
    <n v="0.64"/>
    <n v="-10101.189999999999"/>
    <x v="7"/>
    <x v="6"/>
  </r>
  <r>
    <n v="8"/>
    <d v="2025-08-11T00:00:00"/>
    <s v="7-Eleven"/>
    <x v="6"/>
    <m/>
    <n v="38.14"/>
    <n v="-10139.329999999998"/>
    <x v="7"/>
    <x v="6"/>
  </r>
  <r>
    <n v="8"/>
    <d v="2025-08-07T00:00:00"/>
    <s v="Paycheck"/>
    <x v="0"/>
    <n v="1049.03"/>
    <m/>
    <n v="-9090.2999999999975"/>
    <x v="7"/>
    <x v="0"/>
  </r>
  <r>
    <n v="8"/>
    <d v="2025-08-10T00:00:00"/>
    <s v="ZELLE Jennifer"/>
    <x v="3"/>
    <n v="-42"/>
    <m/>
    <n v="-9132.2999999999975"/>
    <x v="7"/>
    <x v="3"/>
  </r>
  <r>
    <n v="8"/>
    <d v="2025-08-11T00:00:00"/>
    <s v="Hailey ZELLE"/>
    <x v="0"/>
    <n v="68"/>
    <m/>
    <n v="-9064.2999999999975"/>
    <x v="7"/>
    <x v="10"/>
  </r>
  <r>
    <n v="8"/>
    <d v="2025-08-17T00:00:00"/>
    <s v="PAYMENT  00ZW-Y0Z7-W6Q4_x0009_"/>
    <x v="1"/>
    <m/>
    <n v="809.66"/>
    <n v="-9873.9599999999973"/>
    <x v="7"/>
    <x v="1"/>
  </r>
  <r>
    <n v="8"/>
    <d v="2025-08-15T00:00:00"/>
    <s v="Spotify"/>
    <x v="2"/>
    <m/>
    <n v="21.64"/>
    <n v="-9895.5999999999967"/>
    <x v="7"/>
    <x v="8"/>
  </r>
  <r>
    <n v="8"/>
    <d v="2025-08-17T00:00:00"/>
    <s v="Paradiso"/>
    <x v="4"/>
    <m/>
    <n v="43"/>
    <n v="-9938.5999999999967"/>
    <x v="7"/>
    <x v="4"/>
  </r>
  <r>
    <n v="8"/>
    <d v="2025-08-17T00:00:00"/>
    <s v="Pokemon Center"/>
    <x v="2"/>
    <m/>
    <n v="119.02"/>
    <n v="-10057.619999999997"/>
    <x v="7"/>
    <x v="11"/>
  </r>
  <r>
    <n v="8"/>
    <d v="2025-08-17T00:00:00"/>
    <s v="Starbucks"/>
    <x v="4"/>
    <m/>
    <n v="12.02"/>
    <n v="-10069.639999999998"/>
    <x v="7"/>
    <x v="4"/>
  </r>
  <r>
    <n v="8"/>
    <d v="2025-08-21T00:00:00"/>
    <s v="ZELLE Jordin"/>
    <x v="0"/>
    <n v="30"/>
    <m/>
    <n v="-10039.639999999998"/>
    <x v="7"/>
    <x v="10"/>
  </r>
  <r>
    <n v="8"/>
    <d v="2025-08-21T00:00:00"/>
    <s v="Paycheck"/>
    <x v="0"/>
    <n v="989.31"/>
    <m/>
    <n v="-9050.3299999999981"/>
    <x v="7"/>
    <x v="0"/>
  </r>
  <r>
    <n v="8"/>
    <d v="2025-08-18T00:00:00"/>
    <s v="7-Eleven"/>
    <x v="5"/>
    <m/>
    <n v="28.42"/>
    <n v="-9078.7499999999982"/>
    <x v="7"/>
    <x v="5"/>
  </r>
  <r>
    <n v="8"/>
    <d v="2025-08-18T00:00:00"/>
    <s v="BJ's"/>
    <x v="4"/>
    <m/>
    <n v="24.6"/>
    <n v="-9103.3499999999985"/>
    <x v="7"/>
    <x v="4"/>
  </r>
  <r>
    <n v="8"/>
    <d v="2025-08-19T00:00:00"/>
    <s v="Cane's"/>
    <x v="4"/>
    <m/>
    <n v="24.88"/>
    <n v="-9128.2299999999977"/>
    <x v="7"/>
    <x v="4"/>
  </r>
  <r>
    <n v="8"/>
    <d v="2025-08-21T00:00:00"/>
    <s v="Victoria Secret"/>
    <x v="6"/>
    <m/>
    <n v="21.6"/>
    <n v="-9149.8299999999981"/>
    <x v="7"/>
    <x v="6"/>
  </r>
  <r>
    <n v="8"/>
    <d v="2025-08-21T00:00:00"/>
    <s v="Taco Bell"/>
    <x v="4"/>
    <m/>
    <n v="6.5"/>
    <n v="-9156.3299999999981"/>
    <x v="7"/>
    <x v="4"/>
  </r>
  <r>
    <n v="8"/>
    <d v="2025-08-22T00:00:00"/>
    <s v="Pokemon Center"/>
    <x v="2"/>
    <m/>
    <n v="58.32"/>
    <n v="-9214.6499999999978"/>
    <x v="7"/>
    <x v="11"/>
  </r>
  <r>
    <n v="8"/>
    <d v="2025-08-22T00:00:00"/>
    <s v="The Dallas World Aquarium"/>
    <x v="6"/>
    <m/>
    <n v="29.22"/>
    <n v="-9243.8699999999972"/>
    <x v="7"/>
    <x v="6"/>
  </r>
  <r>
    <n v="8"/>
    <d v="2025-08-22T00:00:00"/>
    <s v="Crumbl"/>
    <x v="4"/>
    <m/>
    <n v="19.149999999999999"/>
    <n v="-9263.0199999999968"/>
    <x v="7"/>
    <x v="4"/>
  </r>
  <r>
    <n v="8"/>
    <d v="2025-08-22T00:00:00"/>
    <s v="Best Buy"/>
    <x v="2"/>
    <m/>
    <n v="58.33"/>
    <n v="-9321.3499999999967"/>
    <x v="7"/>
    <x v="11"/>
  </r>
  <r>
    <n v="8"/>
    <d v="2025-08-23T00:00:00"/>
    <s v="WingStop"/>
    <x v="4"/>
    <m/>
    <n v="8.11"/>
    <n v="-9329.4599999999973"/>
    <x v="7"/>
    <x v="4"/>
  </r>
  <r>
    <n v="8"/>
    <d v="2025-08-24T00:00:00"/>
    <s v="7-Eleven"/>
    <x v="5"/>
    <m/>
    <n v="43.25"/>
    <n v="-9372.7099999999973"/>
    <x v="7"/>
    <x v="5"/>
  </r>
  <r>
    <n v="8"/>
    <d v="2025-08-26T00:00:00"/>
    <s v="Bojangles"/>
    <x v="4"/>
    <m/>
    <n v="16.32"/>
    <n v="-9389.029999999997"/>
    <x v="7"/>
    <x v="4"/>
  </r>
  <r>
    <n v="8"/>
    <d v="2025-08-27T00:00:00"/>
    <s v="Pokemon Center"/>
    <x v="2"/>
    <m/>
    <n v="4.8600000000000003"/>
    <n v="-9393.8899999999976"/>
    <x v="7"/>
    <x v="11"/>
  </r>
  <r>
    <n v="8"/>
    <d v="2025-08-26T00:00:00"/>
    <s v="UTD Vending Machine"/>
    <x v="4"/>
    <m/>
    <n v="4.3499999999999996"/>
    <n v="-9398.239999999998"/>
    <x v="7"/>
    <x v="4"/>
  </r>
  <r>
    <n v="8"/>
    <d v="2025-08-31T00:00:00"/>
    <s v="PAYMENT  00ZW-Y3MQ-RJX3_x0009_"/>
    <x v="1"/>
    <m/>
    <n v="543.59"/>
    <n v="-9941.8299999999981"/>
    <x v="7"/>
    <x v="1"/>
  </r>
  <r>
    <n v="8"/>
    <d v="2025-08-31T00:00:00"/>
    <s v="Saving Interest"/>
    <x v="8"/>
    <m/>
    <n v="29.14"/>
    <n v="-9970.9699999999975"/>
    <x v="7"/>
    <x v="9"/>
  </r>
  <r>
    <n v="8"/>
    <d v="2025-08-30T00:00:00"/>
    <s v="THE LIVING TOMBSTONE"/>
    <x v="2"/>
    <m/>
    <n v="124.1"/>
    <n v="-10095.069999999998"/>
    <x v="7"/>
    <x v="2"/>
  </r>
  <r>
    <n v="8"/>
    <d v="2025-08-30T00:00:00"/>
    <s v="Taco Bell"/>
    <x v="4"/>
    <m/>
    <n v="22.4"/>
    <n v="-10117.469999999998"/>
    <x v="7"/>
    <x v="4"/>
  </r>
  <r>
    <n v="9"/>
    <d v="2025-09-02T00:00:00"/>
    <s v="Pokemon Center"/>
    <x v="2"/>
    <m/>
    <n v="129.86000000000001"/>
    <n v="-10247.329999999998"/>
    <x v="8"/>
    <x v="11"/>
  </r>
  <r>
    <n v="9"/>
    <d v="2025-09-02T00:00:00"/>
    <s v="7-Eleven"/>
    <x v="5"/>
    <m/>
    <n v="38.020000000000003"/>
    <n v="-10155.489999999998"/>
    <x v="8"/>
    <x v="5"/>
  </r>
  <r>
    <n v="9"/>
    <d v="2025-09-03T00:00:00"/>
    <s v="Panda Express"/>
    <x v="4"/>
    <m/>
    <n v="9.1999999999999993"/>
    <n v="-10164.689999999999"/>
    <x v="8"/>
    <x v="4"/>
  </r>
  <r>
    <n v="9"/>
    <d v="2025-09-04T00:00:00"/>
    <s v="DPS New Drivers License"/>
    <x v="6"/>
    <m/>
    <n v="11"/>
    <n v="-10175.689999999999"/>
    <x v="8"/>
    <x v="6"/>
  </r>
  <r>
    <n v="9"/>
    <d v="2025-09-08T00:00:00"/>
    <s v="Textbook UTD"/>
    <x v="6"/>
    <m/>
    <n v="31.39"/>
    <n v="-10207.079999999998"/>
    <x v="8"/>
    <x v="6"/>
  </r>
  <r>
    <n v="9"/>
    <d v="2025-09-09T00:00:00"/>
    <s v="7-Eleven"/>
    <x v="6"/>
    <m/>
    <n v="38.880000000000003"/>
    <n v="-10245.959999999997"/>
    <x v="8"/>
    <x v="6"/>
  </r>
  <r>
    <n v="9"/>
    <d v="2025-09-10T00:00:00"/>
    <s v="UTD FSA Membership"/>
    <x v="2"/>
    <m/>
    <n v="31.46"/>
    <n v="-10277.419999999996"/>
    <x v="8"/>
    <x v="8"/>
  </r>
  <r>
    <n v="9"/>
    <d v="2025-09-10T00:00:00"/>
    <s v="Mori Teriyaki"/>
    <x v="4"/>
    <m/>
    <n v="8.61"/>
    <n v="-10286.029999999997"/>
    <x v="8"/>
    <x v="4"/>
  </r>
  <r>
    <n v="9"/>
    <d v="2025-09-15T00:00:00"/>
    <s v="Spotify"/>
    <x v="2"/>
    <m/>
    <n v="21.64"/>
    <n v="-10307.669999999996"/>
    <x v="8"/>
    <x v="8"/>
  </r>
  <r>
    <n v="9"/>
    <d v="2025-09-02T00:00:00"/>
    <s v="TEASURY MONEY"/>
    <x v="0"/>
    <n v="11424"/>
    <m/>
    <n v="1116.3300000000036"/>
    <x v="8"/>
    <x v="0"/>
  </r>
  <r>
    <n v="9"/>
    <d v="2025-09-04T00:00:00"/>
    <s v="Paycheck"/>
    <x v="0"/>
    <n v="898.02"/>
    <m/>
    <n v="2014.3500000000035"/>
    <x v="8"/>
    <x v="0"/>
  </r>
  <r>
    <n v="9"/>
    <d v="2025-09-07T00:00:00"/>
    <s v="ZELLE Mom"/>
    <x v="3"/>
    <n v="-1000"/>
    <m/>
    <n v="1014.3500000000035"/>
    <x v="8"/>
    <x v="3"/>
  </r>
  <r>
    <n v="9"/>
    <d v="2025-09-08T00:00:00"/>
    <s v="ZELLE Mom"/>
    <x v="3"/>
    <n v="-1000"/>
    <m/>
    <n v="14.350000000003547"/>
    <x v="8"/>
    <x v="3"/>
  </r>
  <r>
    <n v="9"/>
    <d v="2025-09-14T00:00:00"/>
    <s v="ZELLE Mom"/>
    <x v="3"/>
    <n v="-1000"/>
    <m/>
    <n v="-985.64999999999645"/>
    <x v="8"/>
    <x v="3"/>
  </r>
  <r>
    <n v="9"/>
    <d v="2025-09-17T00:00:00"/>
    <s v="ZELLE Mom"/>
    <x v="3"/>
    <n v="-1000"/>
    <m/>
    <n v="-1985.6499999999965"/>
    <x v="8"/>
    <x v="3"/>
  </r>
  <r>
    <n v="9"/>
    <d v="2025-09-17T00:00:00"/>
    <s v="PAYMENT  00ZW-Y8Q1-NXRJ"/>
    <x v="1"/>
    <m/>
    <n v="466.56"/>
    <n v="-2452.2099999999964"/>
    <x v="8"/>
    <x v="1"/>
  </r>
  <r>
    <n v="9"/>
    <d v="2025-09-18T00:00:00"/>
    <s v="Paycheck"/>
    <x v="0"/>
    <n v="773.18"/>
    <m/>
    <n v="-1679.0299999999966"/>
    <x v="8"/>
    <x v="0"/>
  </r>
  <r>
    <n v="9"/>
    <d v="2025-09-19T00:00:00"/>
    <s v="ZELLE Jennifer"/>
    <x v="3"/>
    <n v="-100"/>
    <m/>
    <n v="-1779.0299999999966"/>
    <x v="8"/>
    <x v="3"/>
  </r>
  <r>
    <n v="9"/>
    <d v="2025-09-21T00:00:00"/>
    <s v="ZELLE Mom"/>
    <x v="3"/>
    <n v="-1000"/>
    <m/>
    <n v="-2779.0299999999966"/>
    <x v="8"/>
    <x v="3"/>
  </r>
  <r>
    <n v="9"/>
    <d v="2025-09-22T00:00:00"/>
    <s v="ZELLE Mom"/>
    <x v="3"/>
    <n v="-1000"/>
    <m/>
    <n v="-3779.0299999999966"/>
    <x v="8"/>
    <x v="3"/>
  </r>
  <r>
    <n v="9"/>
    <d v="2025-09-25T00:00:00"/>
    <s v="ZELLE Mom"/>
    <x v="3"/>
    <n v="-1000"/>
    <m/>
    <n v="-4779.029999999997"/>
    <x v="8"/>
    <x v="3"/>
  </r>
  <r>
    <n v="9"/>
    <d v="2025-09-29T00:00:00"/>
    <s v="ZELLE Colin"/>
    <x v="0"/>
    <n v="180"/>
    <m/>
    <n v="-4599.029999999997"/>
    <x v="8"/>
    <x v="10"/>
  </r>
  <r>
    <n v="9"/>
    <d v="2025-09-17T00:00:00"/>
    <s v="UTD Orange Parking"/>
    <x v="6"/>
    <m/>
    <n v="536"/>
    <n v="-5135.029999999997"/>
    <x v="8"/>
    <x v="6"/>
  </r>
  <r>
    <n v="9"/>
    <d v="2025-09-18T00:00:00"/>
    <s v="Laufey Parking"/>
    <x v="2"/>
    <m/>
    <n v="35"/>
    <n v="-5170.029999999997"/>
    <x v="8"/>
    <x v="2"/>
  </r>
  <r>
    <n v="9"/>
    <d v="2025-09-18T00:00:00"/>
    <s v="Cane's"/>
    <x v="4"/>
    <m/>
    <n v="14.7"/>
    <n v="-5184.7299999999968"/>
    <x v="8"/>
    <x v="4"/>
  </r>
  <r>
    <n v="9"/>
    <d v="2025-09-18T00:00:00"/>
    <s v="7-Eleven"/>
    <x v="6"/>
    <m/>
    <n v="41.87"/>
    <n v="-5226.5999999999967"/>
    <x v="8"/>
    <x v="6"/>
  </r>
  <r>
    <n v="9"/>
    <d v="2025-09-18T00:00:00"/>
    <s v="Laufey Merch"/>
    <x v="2"/>
    <m/>
    <n v="49.5"/>
    <n v="-5276.0999999999967"/>
    <x v="8"/>
    <x v="2"/>
  </r>
  <r>
    <n v="9"/>
    <d v="2025-09-24T00:00:00"/>
    <s v="UTD Chick Fil A"/>
    <x v="4"/>
    <m/>
    <n v="21.39"/>
    <n v="-5297.4899999999971"/>
    <x v="8"/>
    <x v="4"/>
  </r>
  <r>
    <n v="9"/>
    <d v="2025-09-25T00:00:00"/>
    <s v="STEAM Unravel"/>
    <x v="2"/>
    <m/>
    <n v="5.4"/>
    <n v="-5302.8899999999967"/>
    <x v="8"/>
    <x v="12"/>
  </r>
  <r>
    <n v="9"/>
    <d v="2025-09-25T00:00:00"/>
    <s v="Pokemon Center"/>
    <x v="2"/>
    <m/>
    <n v="86.56"/>
    <n v="-5389.4499999999971"/>
    <x v="8"/>
    <x v="11"/>
  </r>
  <r>
    <n v="9"/>
    <d v="2025-09-25T00:00:00"/>
    <s v="7-Eleven"/>
    <x v="5"/>
    <m/>
    <n v="41.13"/>
    <n v="-5430.5799999999972"/>
    <x v="8"/>
    <x v="5"/>
  </r>
  <r>
    <n v="9"/>
    <d v="2025-09-26T00:00:00"/>
    <s v="Pokemon Center"/>
    <x v="2"/>
    <m/>
    <n v="334.01"/>
    <n v="-5764.5899999999974"/>
    <x v="8"/>
    <x v="11"/>
  </r>
  <r>
    <n v="9"/>
    <d v="2025-09-26T00:00:00"/>
    <s v="Target-+C364+[@Description]"/>
    <x v="2"/>
    <m/>
    <n v="126.62"/>
    <n v="-5891.2099999999973"/>
    <x v="8"/>
    <x v="11"/>
  </r>
  <r>
    <n v="9"/>
    <d v="2025-09-26T00:00:00"/>
    <s v="Best Buy-Pokemon"/>
    <x v="2"/>
    <m/>
    <n v="64.84"/>
    <n v="-5956.0499999999975"/>
    <x v="8"/>
    <x v="11"/>
  </r>
  <r>
    <n v="9"/>
    <d v="2025-09-27T00:00:00"/>
    <s v="Dave's Hot Chicken"/>
    <x v="4"/>
    <m/>
    <n v="31.58"/>
    <n v="-5987.6299999999974"/>
    <x v="8"/>
    <x v="4"/>
  </r>
  <r>
    <n v="9"/>
    <d v="2025-09-29T00:00:00"/>
    <s v="ZELLE Mom"/>
    <x v="3"/>
    <n v="-1000"/>
    <m/>
    <n v="-6987.6299999999974"/>
    <x v="8"/>
    <x v="3"/>
  </r>
  <r>
    <n v="9"/>
    <d v="2025-09-29T00:00:00"/>
    <s v="Walmart"/>
    <x v="6"/>
    <m/>
    <n v="2.56"/>
    <n v="-6990.1899999999978"/>
    <x v="8"/>
    <x v="6"/>
  </r>
  <r>
    <n v="9"/>
    <d v="2025-09-30T00:00:00"/>
    <s v="Saving Interest"/>
    <x v="8"/>
    <m/>
    <n v="28.26"/>
    <n v="-7018.449999999998"/>
    <x v="8"/>
    <x v="9"/>
  </r>
  <r>
    <n v="10"/>
    <d v="2025-10-02T00:00:00"/>
    <s v="PAYMENT  00ZW-YCD6-MG46_x0009_"/>
    <x v="1"/>
    <m/>
    <n v="1391.16"/>
    <n v="-8409.6099999999988"/>
    <x v="9"/>
    <x v="1"/>
  </r>
  <r>
    <n v="10"/>
    <d v="2025-10-02T00:00:00"/>
    <s v="ZELLE Mom"/>
    <x v="3"/>
    <n v="-1000"/>
    <m/>
    <n v="-9409.6099999999988"/>
    <x v="9"/>
    <x v="3"/>
  </r>
  <r>
    <n v="10"/>
    <d v="2025-10-03T00:00:00"/>
    <s v="Paycheck"/>
    <x v="0"/>
    <n v="627.04"/>
    <m/>
    <n v="-8782.57"/>
    <x v="9"/>
    <x v="0"/>
  </r>
  <r>
    <n v="10"/>
    <d v="2025-10-02T00:00:00"/>
    <s v="Target"/>
    <x v="6"/>
    <m/>
    <n v="75.760000000000005"/>
    <e v="#REF!"/>
    <x v="9"/>
    <x v="6"/>
  </r>
  <r>
    <n v="10"/>
    <d v="2025-10-02T00:00:00"/>
    <s v="Kinokuniya"/>
    <x v="6"/>
    <m/>
    <n v="22.72"/>
    <e v="#REF!"/>
    <x v="9"/>
    <x v="6"/>
  </r>
  <r>
    <n v="10"/>
    <d v="2025-10-02T00:00:00"/>
    <s v="Kinokuniya"/>
    <x v="6"/>
    <m/>
    <n v="14.06"/>
    <e v="#REF!"/>
    <x v="9"/>
    <x v="6"/>
  </r>
  <r>
    <n v="10"/>
    <d v="2025-10-03T00:00:00"/>
    <s v="Murphy Express"/>
    <x v="5"/>
    <m/>
    <n v="22.4"/>
    <e v="#REF!"/>
    <x v="9"/>
    <x v="5"/>
  </r>
  <r>
    <n v="10"/>
    <d v="2025-10-04T00:00:00"/>
    <s v="Richland Hair"/>
    <x v="6"/>
    <m/>
    <n v="36"/>
    <e v="#REF!"/>
    <x v="9"/>
    <x v="6"/>
  </r>
  <r>
    <n v="10"/>
    <d v="2025-10-04T00:00:00"/>
    <s v="ZELLE Colin"/>
    <x v="3"/>
    <n v="-27"/>
    <m/>
    <e v="#REF!"/>
    <x v="9"/>
    <x v="3"/>
  </r>
  <r>
    <n v="10"/>
    <d v="2025-10-04T00:00:00"/>
    <s v="Cane's"/>
    <x v="4"/>
    <m/>
    <n v="30.72"/>
    <e v="#REF!"/>
    <x v="9"/>
    <x v="4"/>
  </r>
  <r>
    <n v="10"/>
    <d v="2025-10-04T00:00:00"/>
    <s v="Andy's"/>
    <x v="4"/>
    <m/>
    <n v="17.14"/>
    <e v="#REF!"/>
    <x v="9"/>
    <x v="4"/>
  </r>
  <r>
    <n v="10"/>
    <d v="2025-10-06T00:00:00"/>
    <s v="Walmart +"/>
    <x v="2"/>
    <m/>
    <n v="14.02"/>
    <e v="#REF!"/>
    <x v="9"/>
    <x v="11"/>
  </r>
  <r>
    <n v="10"/>
    <d v="2025-10-07T00:00:00"/>
    <s v="Whataburger"/>
    <x v="4"/>
    <m/>
    <n v="8.8699999999999992"/>
    <e v="#REF!"/>
    <x v="9"/>
    <x v="4"/>
  </r>
  <r>
    <n v="10"/>
    <d v="2025-10-07T00:00:00"/>
    <s v="7-Eleven"/>
    <x v="5"/>
    <m/>
    <n v="35.229999999999997"/>
    <e v="#REF!"/>
    <x v="9"/>
    <x v="5"/>
  </r>
  <r>
    <n v="10"/>
    <d v="2025-10-09T00:00:00"/>
    <s v="Walmart Pokemon"/>
    <x v="2"/>
    <m/>
    <n v="64.95"/>
    <e v="#REF!"/>
    <x v="9"/>
    <x v="11"/>
  </r>
  <r>
    <n v="10"/>
    <d v="2025-10-10T00:00:00"/>
    <s v="Pine Isle"/>
    <x v="4"/>
    <m/>
    <n v="4.32"/>
    <e v="#REF!"/>
    <x v="9"/>
    <x v="4"/>
  </r>
  <r>
    <n v="10"/>
    <d v="2025-10-12T00:00:00"/>
    <s v="Wabi House"/>
    <x v="4"/>
    <m/>
    <n v="60.63"/>
    <e v="#REF!"/>
    <x v="9"/>
    <x v="4"/>
  </r>
  <r>
    <n v="10"/>
    <d v="2025-10-13T00:00:00"/>
    <s v="Spirit Halloween"/>
    <x v="6"/>
    <m/>
    <n v="69"/>
    <e v="#REF!"/>
    <x v="9"/>
    <x v="6"/>
  </r>
  <r>
    <n v="10"/>
    <d v="2025-10-13T00:00:00"/>
    <s v="Ross"/>
    <x v="6"/>
    <m/>
    <n v="18.39"/>
    <e v="#REF!"/>
    <x v="9"/>
    <x v="6"/>
  </r>
  <r>
    <n v="10"/>
    <d v="2025-10-13T00:00:00"/>
    <s v="Ross"/>
    <x v="6"/>
    <m/>
    <n v="16.23"/>
    <e v="#REF!"/>
    <x v="9"/>
    <x v="6"/>
  </r>
  <r>
    <n v="10"/>
    <d v="2025-10-13T00:00:00"/>
    <s v="Mcdonald's"/>
    <x v="4"/>
    <m/>
    <n v="8.0500000000000007"/>
    <e v="#REF!"/>
    <x v="9"/>
    <x v="4"/>
  </r>
  <r>
    <n v="10"/>
    <d v="2025-10-14T00:00:00"/>
    <s v="Nuevo Tacos"/>
    <x v="4"/>
    <m/>
    <n v="13.93"/>
    <e v="#REF!"/>
    <x v="9"/>
    <x v="4"/>
  </r>
  <r>
    <n v="10"/>
    <d v="2025-10-14T00:00:00"/>
    <s v="7-Eleven"/>
    <x v="5"/>
    <m/>
    <n v="39.76"/>
    <e v="#REF!"/>
    <x v="9"/>
    <x v="5"/>
  </r>
  <r>
    <n v="10"/>
    <d v="2025-10-15T00:00:00"/>
    <s v="Spotify"/>
    <x v="2"/>
    <m/>
    <n v="21.64"/>
    <e v="#REF!"/>
    <x v="9"/>
    <x v="8"/>
  </r>
  <r>
    <n v="10"/>
    <d v="2025-10-10T00:00:00"/>
    <s v="ZELLE Hailey Yum"/>
    <x v="3"/>
    <n v="-30"/>
    <m/>
    <e v="#REF!"/>
    <x v="9"/>
    <x v="3"/>
  </r>
  <r>
    <n v="10"/>
    <d v="2025-10-16T00:00:00"/>
    <s v="Paycheck"/>
    <x v="0"/>
    <n v="438.82"/>
    <m/>
    <e v="#REF!"/>
    <x v="9"/>
    <x v="0"/>
  </r>
  <r>
    <n v="10"/>
    <d v="2025-10-10T00:00:00"/>
    <s v="Discover Dispute Charge for PokemonCenter"/>
    <x v="2"/>
    <m/>
    <n v="-334.01"/>
    <e v="#REF!"/>
    <x v="9"/>
    <x v="11"/>
  </r>
  <r>
    <n v="10"/>
    <d v="2025-10-18T00:00:00"/>
    <s v="PAYMENT  00ZW-YLGV-HMPG_x0009_"/>
    <x v="1"/>
    <m/>
    <n v="259.81"/>
    <e v="#REF!"/>
    <x v="9"/>
    <x v="1"/>
  </r>
  <r>
    <n v="10"/>
    <d v="2025-10-17T00:00:00"/>
    <s v="Pokemon Center REFUND"/>
    <x v="2"/>
    <m/>
    <n v="-334.01"/>
    <e v="#REF!"/>
    <x v="9"/>
    <x v="11"/>
  </r>
  <r>
    <n v="10"/>
    <d v="2025-10-17T00:00:00"/>
    <s v="Best Buy-Pokemon"/>
    <x v="2"/>
    <m/>
    <n v="58.97"/>
    <e v="#REF!"/>
    <x v="9"/>
    <x v="11"/>
  </r>
  <r>
    <n v="10"/>
    <d v="2025-10-20T00:00:00"/>
    <s v="Hobby Lobby"/>
    <x v="6"/>
    <m/>
    <n v="38.340000000000003"/>
    <e v="#REF!"/>
    <x v="9"/>
    <x v="6"/>
  </r>
  <r>
    <n v="10"/>
    <d v="2025-10-20T00:00:00"/>
    <s v="Hobby Lobby"/>
    <x v="6"/>
    <m/>
    <n v="8.65"/>
    <e v="#REF!"/>
    <x v="9"/>
    <x v="6"/>
  </r>
  <r>
    <n v="10"/>
    <d v="2025-10-22T00:00:00"/>
    <s v="Sephora"/>
    <x v="6"/>
    <m/>
    <n v="28.15"/>
    <e v="#REF!"/>
    <x v="9"/>
    <x v="6"/>
  </r>
  <r>
    <n v="10"/>
    <d v="2025-10-22T00:00:00"/>
    <s v="Boba"/>
    <x v="4"/>
    <m/>
    <n v="8.1300000000000008"/>
    <e v="#REF!"/>
    <x v="9"/>
    <x v="4"/>
  </r>
  <r>
    <n v="10"/>
    <d v="2025-10-22T00:00:00"/>
    <s v="Popmart"/>
    <x v="2"/>
    <m/>
    <n v="30.3"/>
    <e v="#REF!"/>
    <x v="9"/>
    <x v="7"/>
  </r>
  <r>
    <n v="10"/>
    <d v="2025-10-23T00:00:00"/>
    <s v="Boiling Crab"/>
    <x v="4"/>
    <m/>
    <n v="36.4"/>
    <e v="#REF!"/>
    <x v="9"/>
    <x v="4"/>
  </r>
  <r>
    <n v="10"/>
    <d v="2025-10-23T00:00:00"/>
    <s v="Okaeri Café"/>
    <x v="4"/>
    <m/>
    <n v="6.5"/>
    <e v="#REF!"/>
    <x v="9"/>
    <x v="4"/>
  </r>
  <r>
    <n v="10"/>
    <d v="2025-10-23T00:00:00"/>
    <s v="SPECS"/>
    <x v="4"/>
    <m/>
    <n v="70.34"/>
    <e v="#REF!"/>
    <x v="9"/>
    <x v="4"/>
  </r>
  <r>
    <n v="10"/>
    <d v="2025-10-23T00:00:00"/>
    <s v="Hobby Lobby"/>
    <x v="6"/>
    <m/>
    <n v="8.9600000000000009"/>
    <e v="#REF!"/>
    <x v="9"/>
    <x v="6"/>
  </r>
  <r>
    <n v="10"/>
    <d v="2025-10-23T00:00:00"/>
    <s v="Hobby Lobby"/>
    <x v="6"/>
    <m/>
    <n v="6.72"/>
    <e v="#REF!"/>
    <x v="9"/>
    <x v="6"/>
  </r>
  <r>
    <n v="10"/>
    <d v="2025-10-23T00:00:00"/>
    <s v="7-Eleven"/>
    <x v="5"/>
    <m/>
    <n v="20.350000000000001"/>
    <e v="#REF!"/>
    <x v="9"/>
    <x v="5"/>
  </r>
  <r>
    <n v="10"/>
    <d v="2025-10-24T00:00:00"/>
    <s v="Target"/>
    <x v="6"/>
    <m/>
    <n v="19.78"/>
    <e v="#REF!"/>
    <x v="9"/>
    <x v="6"/>
  </r>
  <r>
    <n v="10"/>
    <d v="2025-10-24T00:00:00"/>
    <s v="Bucees"/>
    <x v="4"/>
    <m/>
    <n v="21.82"/>
    <e v="#REF!"/>
    <x v="9"/>
    <x v="4"/>
  </r>
  <r>
    <n v="10"/>
    <d v="2025-10-25T00:00:00"/>
    <s v="Uber"/>
    <x v="2"/>
    <m/>
    <n v="12.97"/>
    <e v="#REF!"/>
    <x v="9"/>
    <x v="7"/>
  </r>
  <r>
    <n v="10"/>
    <d v="2025-10-27T00:00:00"/>
    <s v="Uber"/>
    <x v="2"/>
    <m/>
    <n v="2"/>
    <e v="#REF!"/>
    <x v="9"/>
    <x v="7"/>
  </r>
  <r>
    <n v="10"/>
    <d v="2025-10-27T00:00:00"/>
    <s v="Cabo Bobs Burritos"/>
    <x v="4"/>
    <m/>
    <n v="28.86"/>
    <e v="#REF!"/>
    <x v="9"/>
    <x v="4"/>
  </r>
  <r>
    <n v="10"/>
    <d v="2025-10-27T00:00:00"/>
    <s v="Hoboken Pies"/>
    <x v="4"/>
    <m/>
    <n v="28.36"/>
    <e v="#REF!"/>
    <x v="9"/>
    <x v="4"/>
  </r>
  <r>
    <n v="10"/>
    <d v="2025-10-27T00:00:00"/>
    <s v="Bucees"/>
    <x v="4"/>
    <m/>
    <n v="23.41"/>
    <e v="#REF!"/>
    <x v="9"/>
    <x v="4"/>
  </r>
  <r>
    <n v="10"/>
    <d v="2025-10-29T00:00:00"/>
    <s v="Cane's"/>
    <x v="4"/>
    <m/>
    <n v="35.92"/>
    <e v="#REF!"/>
    <x v="9"/>
    <x v="4"/>
  </r>
  <r>
    <n v="10"/>
    <d v="2025-10-30T00:00:00"/>
    <s v="STEAM RV There Yet"/>
    <x v="2"/>
    <m/>
    <n v="8.65"/>
    <e v="#REF!"/>
    <x v="9"/>
    <x v="12"/>
  </r>
  <r>
    <n v="10"/>
    <d v="2025-10-30T00:00:00"/>
    <s v="Target"/>
    <x v="2"/>
    <m/>
    <n v="12.97"/>
    <e v="#REF!"/>
    <x v="9"/>
    <x v="11"/>
  </r>
  <r>
    <n v="10"/>
    <d v="2025-10-30T00:00:00"/>
    <s v="7-Eleven"/>
    <x v="5"/>
    <m/>
    <n v="39.94"/>
    <e v="#REF!"/>
    <x v="9"/>
    <x v="5"/>
  </r>
  <r>
    <n v="10"/>
    <d v="2025-10-31T00:00:00"/>
    <s v="Mcdonald's"/>
    <x v="4"/>
    <m/>
    <n v="13.83"/>
    <e v="#REF!"/>
    <x v="9"/>
    <x v="4"/>
  </r>
  <r>
    <n v="10"/>
    <d v="2025-10-31T00:00:00"/>
    <s v="In-N-Out"/>
    <x v="4"/>
    <m/>
    <n v="24.79"/>
    <e v="#REF!"/>
    <x v="9"/>
    <x v="4"/>
  </r>
  <r>
    <n v="10"/>
    <d v="2025-10-24T00:00:00"/>
    <s v="ZELLE Colin"/>
    <x v="3"/>
    <n v="-190"/>
    <m/>
    <e v="#REF!"/>
    <x v="9"/>
    <x v="3"/>
  </r>
  <r>
    <n v="10"/>
    <d v="2025-10-27T00:00:00"/>
    <s v="ZELLE Dale"/>
    <x v="3"/>
    <n v="-7"/>
    <m/>
    <e v="#REF!"/>
    <x v="9"/>
    <x v="3"/>
  </r>
  <r>
    <n v="10"/>
    <d v="2025-10-31T00:00:00"/>
    <s v="Saving Interest"/>
    <x v="8"/>
    <m/>
    <n v="28.49"/>
    <e v="#REF!"/>
    <x v="9"/>
    <x v="9"/>
  </r>
  <r>
    <n v="11"/>
    <d v="2025-11-03T00:00:00"/>
    <s v="PAYMENT  00ZW-YP6P-36B6_x0009_"/>
    <x v="1"/>
    <m/>
    <n v="261.10000000000002"/>
    <e v="#REF!"/>
    <x v="10"/>
    <x v="1"/>
  </r>
  <r>
    <n v="11"/>
    <d v="2025-11-02T00:00:00"/>
    <s v="Cinemark"/>
    <x v="4"/>
    <m/>
    <n v="43"/>
    <e v="#REF!"/>
    <x v="10"/>
    <x v="4"/>
  </r>
  <r>
    <n v="11"/>
    <d v="2025-11-05T00:00:00"/>
    <s v="JolliBee"/>
    <x v="4"/>
    <m/>
    <n v="23.25"/>
    <e v="#REF!"/>
    <x v="10"/>
    <x v="4"/>
  </r>
  <r>
    <n v="11"/>
    <d v="2025-11-06T00:00:00"/>
    <s v="Target"/>
    <x v="6"/>
    <m/>
    <n v="9.07"/>
    <e v="#REF!"/>
    <x v="10"/>
    <x v="6"/>
  </r>
  <r>
    <n v="11"/>
    <d v="2025-11-06T00:00:00"/>
    <s v="Taco Bell"/>
    <x v="4"/>
    <m/>
    <n v="6.04"/>
    <e v="#REF!"/>
    <x v="10"/>
    <x v="4"/>
  </r>
  <r>
    <n v="11"/>
    <d v="2025-11-06T00:00:00"/>
    <s v="Chilis"/>
    <x v="4"/>
    <m/>
    <n v="45.56"/>
    <e v="#REF!"/>
    <x v="10"/>
    <x v="4"/>
  </r>
  <r>
    <n v="11"/>
    <d v="2025-11-07T00:00:00"/>
    <s v="Game Nerdz"/>
    <x v="2"/>
    <m/>
    <n v="91.98"/>
    <e v="#REF!"/>
    <x v="10"/>
    <x v="11"/>
  </r>
  <r>
    <n v="11"/>
    <d v="2025-11-08T00:00:00"/>
    <s v="Walmart"/>
    <x v="6"/>
    <m/>
    <n v="6.46"/>
    <e v="#REF!"/>
    <x v="10"/>
    <x v="6"/>
  </r>
  <r>
    <n v="11"/>
    <d v="2025-11-08T00:00:00"/>
    <s v="Feng Cha"/>
    <x v="4"/>
    <m/>
    <n v="6.5"/>
    <e v="#REF!"/>
    <x v="10"/>
    <x v="4"/>
  </r>
  <r>
    <n v="10"/>
    <d v="2025-10-26T00:00:00"/>
    <s v="Uber"/>
    <x v="2"/>
    <m/>
    <n v="18.64"/>
    <e v="#REF!"/>
    <x v="9"/>
    <x v="7"/>
  </r>
  <r>
    <n v="11"/>
    <d v="2025-11-08T00:00:00"/>
    <s v="Stand For The Silent Charity"/>
    <x v="2"/>
    <m/>
    <n v="31.2"/>
    <e v="#REF!"/>
    <x v="10"/>
    <x v="7"/>
  </r>
  <r>
    <n v="11"/>
    <d v="2025-11-08T00:00:00"/>
    <s v="7-Eleven"/>
    <x v="5"/>
    <m/>
    <n v="26.64"/>
    <e v="#REF!"/>
    <x v="10"/>
    <x v="5"/>
  </r>
  <r>
    <n v="11"/>
    <d v="2025-11-01T00:00:00"/>
    <s v="Target"/>
    <x v="2"/>
    <m/>
    <n v="64.930000000000007"/>
    <e v="#REF!"/>
    <x v="10"/>
    <x v="11"/>
  </r>
  <r>
    <n v="11"/>
    <d v="2025-11-12T00:00:00"/>
    <s v="Snapchat"/>
    <x v="2"/>
    <m/>
    <n v="1.07"/>
    <e v="#REF!"/>
    <x v="10"/>
    <x v="8"/>
  </r>
  <r>
    <n v="11"/>
    <d v="2025-11-04T00:00:00"/>
    <s v="ZELLE Farhad"/>
    <x v="3"/>
    <n v="-15"/>
    <m/>
    <e v="#REF!"/>
    <x v="10"/>
    <x v="3"/>
  </r>
  <r>
    <n v="11"/>
    <d v="2025-11-12T00:00:00"/>
    <s v="ZELLE Farhad"/>
    <x v="3"/>
    <n v="-36"/>
    <m/>
    <e v="#REF!"/>
    <x v="10"/>
    <x v="3"/>
  </r>
  <r>
    <n v="11"/>
    <d v="2025-11-12T00:00:00"/>
    <s v="ZELLE Pokemon Center"/>
    <x v="3"/>
    <n v="-129.88999999999999"/>
    <m/>
    <e v="#REF!"/>
    <x v="10"/>
    <x v="3"/>
  </r>
  <r>
    <n v="11"/>
    <d v="2025-11-12T00:00:00"/>
    <s v="RAVE Ray Volpe"/>
    <x v="2"/>
    <m/>
    <n v="96.38"/>
    <e v="#REF!"/>
    <x v="10"/>
    <x v="2"/>
  </r>
  <r>
    <n v="11"/>
    <d v="2025-11-12T00:00:00"/>
    <s v="RAVE TeleTech"/>
    <x v="2"/>
    <m/>
    <n v="73.94"/>
    <e v="#REF!"/>
    <x v="10"/>
    <x v="2"/>
  </r>
  <r>
    <n v="11"/>
    <d v="2025-11-06T00:00:00"/>
    <s v="Pokemon Center"/>
    <x v="2"/>
    <m/>
    <n v="129.88999999999999"/>
    <e v="#REF!"/>
    <x v="10"/>
    <x v="11"/>
  </r>
  <r>
    <n v="11"/>
    <d v="2025-11-14T00:00:00"/>
    <s v="Target"/>
    <x v="2"/>
    <m/>
    <n v="211.04"/>
    <e v="#REF!"/>
    <x v="10"/>
    <x v="11"/>
  </r>
  <r>
    <n v="11"/>
    <d v="2025-11-14T00:00:00"/>
    <s v="Best Buy-Pokemon"/>
    <x v="2"/>
    <m/>
    <n v="48.61"/>
    <e v="#REF!"/>
    <x v="10"/>
    <x v="11"/>
  </r>
  <r>
    <n v="11"/>
    <d v="2025-11-13T00:00:00"/>
    <s v="7-Eleven"/>
    <x v="5"/>
    <m/>
    <n v="25.06"/>
    <e v="#REF!"/>
    <x v="10"/>
    <x v="5"/>
  </r>
  <r>
    <n v="11"/>
    <d v="2025-11-14T00:00:00"/>
    <s v="Walmart"/>
    <x v="6"/>
    <m/>
    <n v="49.77"/>
    <e v="#REF!"/>
    <x v="10"/>
    <x v="6"/>
  </r>
  <r>
    <n v="11"/>
    <d v="2025-11-14T00:00:00"/>
    <s v="Chick Fil A"/>
    <x v="4"/>
    <m/>
    <n v="25"/>
    <e v="#REF!"/>
    <x v="10"/>
    <x v="4"/>
  </r>
  <r>
    <n v="11"/>
    <d v="2025-11-14T00:00:00"/>
    <s v="Chick Fil A"/>
    <x v="4"/>
    <m/>
    <n v="10"/>
    <e v="#REF!"/>
    <x v="10"/>
    <x v="4"/>
  </r>
  <r>
    <n v="11"/>
    <d v="2025-11-14T00:00:00"/>
    <s v="Chick Fil A"/>
    <x v="4"/>
    <m/>
    <n v="10"/>
    <e v="#REF!"/>
    <x v="10"/>
    <x v="4"/>
  </r>
  <r>
    <n v="11"/>
    <d v="2025-11-14T00:00:00"/>
    <s v="Chick Fil A"/>
    <x v="4"/>
    <m/>
    <n v="3.25"/>
    <e v="#REF!"/>
    <x v="10"/>
    <x v="4"/>
  </r>
  <r>
    <n v="11"/>
    <d v="2025-11-15T00:00:00"/>
    <s v="Spotify"/>
    <x v="2"/>
    <m/>
    <n v="21.64"/>
    <e v="#REF!"/>
    <x v="10"/>
    <x v="8"/>
  </r>
  <r>
    <n v="11"/>
    <d v="2025-11-14T00:00:00"/>
    <s v="ZELLE Colin"/>
    <x v="0"/>
    <n v="45"/>
    <m/>
    <e v="#REF!"/>
    <x v="10"/>
    <x v="10"/>
  </r>
  <r>
    <n v="11"/>
    <d v="2025-11-17T00:00:00"/>
    <s v="PAYMENT  00ZW-YX6X-QCQ8"/>
    <x v="1"/>
    <m/>
    <n v="1078.92"/>
    <e v="#REF!"/>
    <x v="10"/>
    <x v="1"/>
  </r>
  <r>
    <n v="11"/>
    <d v="2025-11-17T00:00:00"/>
    <s v="Target"/>
    <x v="2"/>
    <m/>
    <n v="10.8"/>
    <e v="#REF!"/>
    <x v="10"/>
    <x v="11"/>
  </r>
  <r>
    <n v="11"/>
    <d v="2025-11-17T00:00:00"/>
    <s v="Target"/>
    <x v="2"/>
    <m/>
    <n v="10.8"/>
    <e v="#REF!"/>
    <x v="10"/>
    <x v="11"/>
  </r>
  <r>
    <n v="11"/>
    <d v="2025-11-18T00:00:00"/>
    <s v="7-Eleven"/>
    <x v="5"/>
    <m/>
    <n v="42.07"/>
    <e v="#REF!"/>
    <x v="10"/>
    <x v="5"/>
  </r>
  <r>
    <n v="11"/>
    <d v="2025-11-21T00:00:00"/>
    <s v="Target"/>
    <x v="6"/>
    <m/>
    <n v="16.21"/>
    <e v="#REF!"/>
    <x v="10"/>
    <x v="6"/>
  </r>
  <r>
    <n v="11"/>
    <d v="2025-11-21T00:00:00"/>
    <s v="Thread Salon"/>
    <x v="6"/>
    <m/>
    <n v="10"/>
    <e v="#REF!"/>
    <x v="10"/>
    <x v="6"/>
  </r>
  <r>
    <n v="11"/>
    <d v="2025-11-24T00:00:00"/>
    <s v="Hobby Lobby"/>
    <x v="6"/>
    <m/>
    <n v="7.76"/>
    <e v="#REF!"/>
    <x v="10"/>
    <x v="6"/>
  </r>
  <r>
    <n v="11"/>
    <d v="2025-11-25T00:00:00"/>
    <s v="Hobby Lobby"/>
    <x v="6"/>
    <m/>
    <n v="2.59"/>
    <e v="#REF!"/>
    <x v="10"/>
    <x v="6"/>
  </r>
  <r>
    <n v="11"/>
    <d v="2025-11-28T00:00:00"/>
    <s v="Dutch Bros"/>
    <x v="4"/>
    <m/>
    <n v="14.29"/>
    <e v="#REF!"/>
    <x v="10"/>
    <x v="4"/>
  </r>
  <r>
    <n v="11"/>
    <d v="2025-11-30T00:00:00"/>
    <s v="Saving Interest"/>
    <x v="8"/>
    <m/>
    <n v="27.65"/>
    <e v="#REF!"/>
    <x v="10"/>
    <x v="9"/>
  </r>
  <r>
    <n v="12"/>
    <d v="2025-12-01T00:00:00"/>
    <s v="Walmart+"/>
    <x v="2"/>
    <m/>
    <n v="14.02"/>
    <e v="#REF!"/>
    <x v="11"/>
    <x v="11"/>
  </r>
  <r>
    <n v="12"/>
    <d v="2025-12-03T00:00:00"/>
    <s v="PAYMENT  00ZW-YZZR-3YX6_x0009_"/>
    <x v="1"/>
    <m/>
    <n v="128.54"/>
    <e v="#REF!"/>
    <x v="11"/>
    <x v="1"/>
  </r>
  <r>
    <n v="12"/>
    <d v="2025-12-07T00:00:00"/>
    <s v="ZELLE Hailey Yum"/>
    <x v="0"/>
    <n v="37"/>
    <m/>
    <e v="#REF!"/>
    <x v="11"/>
    <x v="10"/>
  </r>
  <r>
    <n v="12"/>
    <d v="2025-12-10T00:00:00"/>
    <s v="ZELLE Lola"/>
    <x v="0"/>
    <n v="5"/>
    <m/>
    <e v="#REF!"/>
    <x v="11"/>
    <x v="10"/>
  </r>
  <r>
    <n v="12"/>
    <d v="2025-12-01T00:00:00"/>
    <s v="Barnes &amp; Noble"/>
    <x v="2"/>
    <m/>
    <n v="86.59"/>
    <e v="#REF!"/>
    <x v="11"/>
    <x v="11"/>
  </r>
  <r>
    <n v="12"/>
    <d v="2025-12-02T00:00:00"/>
    <s v="Kate Spade"/>
    <x v="6"/>
    <m/>
    <n v="57.48"/>
    <e v="#REF!"/>
    <x v="11"/>
    <x v="6"/>
  </r>
  <r>
    <n v="12"/>
    <d v="2025-12-02T00:00:00"/>
    <s v="Hobby Lobby"/>
    <x v="6"/>
    <m/>
    <n v="23.75"/>
    <e v="#REF!"/>
    <x v="11"/>
    <x v="6"/>
  </r>
  <r>
    <n v="12"/>
    <d v="2025-12-02T00:00:00"/>
    <s v="7-Eleven"/>
    <x v="5"/>
    <m/>
    <n v="36.24"/>
    <e v="#REF!"/>
    <x v="11"/>
    <x v="5"/>
  </r>
  <r>
    <n v="12"/>
    <d v="2025-12-03T00:00:00"/>
    <s v="Walmart"/>
    <x v="2"/>
    <m/>
    <n v="405.94"/>
    <e v="#REF!"/>
    <x v="11"/>
    <x v="11"/>
  </r>
  <r>
    <n v="12"/>
    <d v="2025-12-03T00:00:00"/>
    <s v="Hobby Lobby"/>
    <x v="6"/>
    <m/>
    <n v="6.67"/>
    <e v="#REF!"/>
    <x v="11"/>
    <x v="6"/>
  </r>
  <r>
    <n v="12"/>
    <d v="2025-12-04T00:00:00"/>
    <s v="Fiesta Mart"/>
    <x v="6"/>
    <m/>
    <n v="19.16"/>
    <e v="#REF!"/>
    <x v="11"/>
    <x v="6"/>
  </r>
  <r>
    <n v="12"/>
    <d v="2025-12-05T00:00:00"/>
    <s v="Nikugen"/>
    <x v="4"/>
    <m/>
    <n v="94"/>
    <e v="#REF!"/>
    <x v="11"/>
    <x v="4"/>
  </r>
  <r>
    <n v="12"/>
    <d v="2025-12-10T00:00:00"/>
    <s v="7-Eleven"/>
    <x v="5"/>
    <m/>
    <n v="37.049999999999997"/>
    <e v="#REF!"/>
    <x v="11"/>
    <x v="5"/>
  </r>
  <r>
    <n v="12"/>
    <d v="2025-12-11T00:00:00"/>
    <s v="Aeropostale"/>
    <x v="6"/>
    <m/>
    <n v="28.12"/>
    <e v="#REF!"/>
    <x v="11"/>
    <x v="6"/>
  </r>
  <r>
    <n v="12"/>
    <d v="2025-12-13T00:00:00"/>
    <s v="Crumbl Cookie"/>
    <x v="4"/>
    <m/>
    <n v="7.48"/>
    <e v="#REF!"/>
    <x v="11"/>
    <x v="4"/>
  </r>
  <r>
    <n v="12"/>
    <d v="2025-12-15T00:00:00"/>
    <s v="Spotify"/>
    <x v="2"/>
    <m/>
    <n v="21.64"/>
    <e v="#REF!"/>
    <x v="11"/>
    <x v="8"/>
  </r>
  <r>
    <n v="12"/>
    <d v="2025-12-18T00:00:00"/>
    <s v="PAYMENT  00ZW-Z50N-CJJ2"/>
    <x v="1"/>
    <m/>
    <n v="824.12"/>
    <e v="#REF!"/>
    <x v="11"/>
    <x v="1"/>
  </r>
  <r>
    <n v="12"/>
    <d v="2025-12-17T00:00:00"/>
    <s v="Feng Cha"/>
    <x v="4"/>
    <m/>
    <n v="20.36"/>
    <e v="#REF!"/>
    <x v="11"/>
    <x v="4"/>
  </r>
  <r>
    <n v="12"/>
    <d v="2025-12-18T00:00:00"/>
    <s v="Target"/>
    <x v="6"/>
    <m/>
    <n v="104.78"/>
    <e v="#REF!"/>
    <x v="11"/>
    <x v="6"/>
  </r>
  <r>
    <n v="12"/>
    <d v="2025-12-20T00:00:00"/>
    <s v="Murphy Express"/>
    <x v="5"/>
    <m/>
    <n v="40.869999999999997"/>
    <e v="#REF!"/>
    <x v="11"/>
    <x v="5"/>
  </r>
  <r>
    <n v="12"/>
    <d v="2025-12-20T00:00:00"/>
    <s v="Max's Donuts"/>
    <x v="4"/>
    <m/>
    <n v="6.9"/>
    <e v="#REF!"/>
    <x v="11"/>
    <x v="4"/>
  </r>
  <r>
    <n v="12"/>
    <d v="2025-12-20T00:00:00"/>
    <s v="Cinemark"/>
    <x v="4"/>
    <m/>
    <n v="24.84"/>
    <e v="#REF!"/>
    <x v="11"/>
    <x v="4"/>
  </r>
  <r>
    <n v="12"/>
    <d v="2025-12-29T00:00:00"/>
    <s v="Chipotle"/>
    <x v="4"/>
    <m/>
    <n v="14.45"/>
    <e v="#REF!"/>
    <x v="11"/>
    <x v="4"/>
  </r>
  <r>
    <n v="12"/>
    <d v="2025-12-31T00:00:00"/>
    <s v="Walmart +"/>
    <x v="2"/>
    <m/>
    <n v="14.02"/>
    <e v="#REF!"/>
    <x v="11"/>
    <x v="11"/>
  </r>
  <r>
    <n v="12"/>
    <d v="2025-12-31T00:00:00"/>
    <s v="Saving Interest"/>
    <x v="8"/>
    <m/>
    <n v="28.65"/>
    <e v="#REF!"/>
    <x v="11"/>
    <x v="9"/>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r>
    <n v="1"/>
    <m/>
    <m/>
    <x v="9"/>
    <m/>
    <m/>
    <e v="#REF!"/>
    <x v="0"/>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5B1F90-3293-414B-BD30-C2BD011D84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18" firstHeaderRow="1" firstDataRow="1" firstDataCol="1" rowPageCount="1" colPageCount="1"/>
  <pivotFields count="9">
    <pivotField showAll="0"/>
    <pivotField showAll="0"/>
    <pivotField showAll="0"/>
    <pivotField axis="axisPage" showAll="0">
      <items count="11">
        <item x="2"/>
        <item x="4"/>
        <item x="5"/>
        <item x="6"/>
        <item x="0"/>
        <item x="8"/>
        <item x="1"/>
        <item x="7"/>
        <item x="3"/>
        <item x="9"/>
        <item t="default"/>
      </items>
    </pivotField>
    <pivotField dataField="1" showAll="0"/>
    <pivotField showAll="0"/>
    <pivotField showAll="0"/>
    <pivotField axis="axisRow" showAll="0">
      <items count="13">
        <item x="0"/>
        <item x="1"/>
        <item x="2"/>
        <item x="3"/>
        <item x="4"/>
        <item x="5"/>
        <item x="6"/>
        <item x="7"/>
        <item x="8"/>
        <item x="9"/>
        <item x="10"/>
        <item x="11"/>
        <item t="default"/>
      </items>
    </pivotField>
    <pivotField showAll="0"/>
  </pivotFields>
  <rowFields count="1">
    <field x="7"/>
  </rowFields>
  <rowItems count="13">
    <i>
      <x/>
    </i>
    <i>
      <x v="1"/>
    </i>
    <i>
      <x v="2"/>
    </i>
    <i>
      <x v="3"/>
    </i>
    <i>
      <x v="4"/>
    </i>
    <i>
      <x v="5"/>
    </i>
    <i>
      <x v="6"/>
    </i>
    <i>
      <x v="7"/>
    </i>
    <i>
      <x v="8"/>
    </i>
    <i>
      <x v="9"/>
    </i>
    <i>
      <x v="10"/>
    </i>
    <i>
      <x v="11"/>
    </i>
    <i t="grand">
      <x/>
    </i>
  </rowItems>
  <colItems count="1">
    <i/>
  </colItems>
  <pageFields count="1">
    <pageField fld="3" item="4" hier="-1"/>
  </pageFields>
  <dataFields count="1">
    <dataField name="Sum of Income" fld="4"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E6EA3F-C106-4E87-8B98-8259328421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9">
    <pivotField showAll="0"/>
    <pivotField showAll="0"/>
    <pivotField showAll="0"/>
    <pivotField axis="axisRow" showAll="0">
      <items count="11">
        <item h="1" x="2"/>
        <item h="1" x="4"/>
        <item h="1" x="5"/>
        <item h="1" x="6"/>
        <item x="0"/>
        <item h="1" x="8"/>
        <item h="1" x="1"/>
        <item h="1" x="7"/>
        <item x="3"/>
        <item h="1" x="9"/>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pivotFields>
  <rowFields count="1">
    <field x="3"/>
  </rowFields>
  <rowItems count="3">
    <i>
      <x v="4"/>
    </i>
    <i>
      <x v="8"/>
    </i>
    <i t="grand">
      <x/>
    </i>
  </rowItems>
  <colItems count="1">
    <i/>
  </colItems>
  <dataFields count="1">
    <dataField name="Sum of Income" fld="4"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39E1A6-E437-41CC-AA4B-8300F4CA14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R11" firstHeaderRow="0" firstDataRow="1" firstDataCol="1"/>
  <pivotFields count="9">
    <pivotField showAll="0"/>
    <pivotField showAll="0"/>
    <pivotField showAll="0"/>
    <pivotField axis="axisRow" showAll="0" sortType="descending">
      <items count="11">
        <item x="2"/>
        <item x="4"/>
        <item x="5"/>
        <item x="6"/>
        <item x="0"/>
        <item h="1" x="8"/>
        <item h="1" x="1"/>
        <item x="7"/>
        <item x="3"/>
        <item h="1" x="9"/>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3"/>
  </rowFields>
  <rowItems count="8">
    <i>
      <x/>
    </i>
    <i>
      <x v="3"/>
    </i>
    <i>
      <x v="1"/>
    </i>
    <i>
      <x v="7"/>
    </i>
    <i>
      <x v="2"/>
    </i>
    <i>
      <x v="8"/>
    </i>
    <i>
      <x v="4"/>
    </i>
    <i t="grand">
      <x/>
    </i>
  </rowItems>
  <colFields count="1">
    <field x="-2"/>
  </colFields>
  <colItems count="2">
    <i>
      <x/>
    </i>
    <i i="1">
      <x v="1"/>
    </i>
  </colItems>
  <dataFields count="2">
    <dataField name="Sum of Credit" fld="5" baseField="0" baseItem="0"/>
    <dataField name="Sum of Income" fld="4"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22D101-ED37-4FA5-80B0-BE3B335183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showAll="0"/>
    <pivotField showAll="0"/>
    <pivotField showAll="0"/>
    <pivotField axis="axisRow" showAll="0" sortType="descending">
      <items count="11">
        <item x="2"/>
        <item x="4"/>
        <item x="5"/>
        <item x="6"/>
        <item h="1" x="0"/>
        <item h="1" x="8"/>
        <item h="1" x="1"/>
        <item h="1" x="7"/>
        <item h="1" x="3"/>
        <item h="1"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3"/>
  </rowFields>
  <rowItems count="5">
    <i>
      <x/>
    </i>
    <i>
      <x v="3"/>
    </i>
    <i>
      <x v="1"/>
    </i>
    <i>
      <x v="2"/>
    </i>
    <i t="grand">
      <x/>
    </i>
  </rowItems>
  <colItems count="1">
    <i/>
  </colItems>
  <dataFields count="1">
    <dataField name="Sum of Credit" fld="5"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2744AB-F09F-44A9-A1EC-C522B3D70A3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V14" firstHeaderRow="0" firstDataRow="1" firstDataCol="1"/>
  <pivotFields count="9">
    <pivotField showAll="0"/>
    <pivotField showAll="0"/>
    <pivotField showAll="0"/>
    <pivotField showAll="0" sortType="descending">
      <items count="11">
        <item x="2"/>
        <item x="4"/>
        <item x="5"/>
        <item x="6"/>
        <item h="1" x="0"/>
        <item h="1" x="8"/>
        <item h="1" x="1"/>
        <item h="1" x="7"/>
        <item h="1" x="3"/>
        <item h="1" x="9"/>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showAll="0">
      <items count="13">
        <item x="0"/>
        <item x="1"/>
        <item x="2"/>
        <item x="3"/>
        <item x="4"/>
        <item x="5"/>
        <item x="6"/>
        <item x="7"/>
        <item x="8"/>
        <item x="9"/>
        <item x="10"/>
        <item x="11"/>
        <item t="default"/>
      </items>
    </pivotField>
    <pivotField axis="axisRow" showAll="0">
      <items count="15">
        <item h="1" x="13"/>
        <item x="2"/>
        <item x="4"/>
        <item x="12"/>
        <item x="5"/>
        <item x="6"/>
        <item h="1" x="0"/>
        <item x="7"/>
        <item h="1" x="1"/>
        <item x="11"/>
        <item x="9"/>
        <item x="8"/>
        <item x="3"/>
        <item h="1" x="10"/>
        <item t="default"/>
      </items>
    </pivotField>
  </pivotFields>
  <rowFields count="1">
    <field x="8"/>
  </rowFields>
  <rowItems count="11">
    <i>
      <x v="1"/>
    </i>
    <i>
      <x v="2"/>
    </i>
    <i>
      <x v="3"/>
    </i>
    <i>
      <x v="4"/>
    </i>
    <i>
      <x v="5"/>
    </i>
    <i>
      <x v="7"/>
    </i>
    <i>
      <x v="9"/>
    </i>
    <i>
      <x v="10"/>
    </i>
    <i>
      <x v="11"/>
    </i>
    <i>
      <x v="12"/>
    </i>
    <i t="grand">
      <x/>
    </i>
  </rowItems>
  <colFields count="1">
    <field x="-2"/>
  </colFields>
  <colItems count="2">
    <i>
      <x/>
    </i>
    <i i="1">
      <x v="1"/>
    </i>
  </colItems>
  <dataFields count="2">
    <dataField name="Sum of Credit" fld="5" baseField="0" baseItem="0"/>
    <dataField name="Sum of Income" fld="4"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ECCDCB-9089-429F-8266-22BB1C1C4C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6" firstHeaderRow="1" firstDataRow="1" firstDataCol="1"/>
  <pivotFields count="9">
    <pivotField showAll="0"/>
    <pivotField showAll="0"/>
    <pivotField showAll="0"/>
    <pivotField axis="axisRow" showAll="0">
      <items count="11">
        <item h="1" x="2"/>
        <item h="1" x="4"/>
        <item h="1" x="5"/>
        <item h="1" x="6"/>
        <item h="1" x="0"/>
        <item x="7"/>
        <item x="8"/>
        <item h="1" x="1"/>
        <item h="1" x="3"/>
        <item h="1" x="9"/>
        <item t="default"/>
      </items>
    </pivotField>
    <pivotField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3"/>
  </rowFields>
  <rowItems count="3">
    <i>
      <x v="5"/>
    </i>
    <i>
      <x v="6"/>
    </i>
    <i t="grand">
      <x/>
    </i>
  </rowItems>
  <colItems count="1">
    <i/>
  </colItems>
  <dataFields count="1">
    <dataField name="Sum of Credit" fld="5"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5D8F60-F3C4-41D4-A75A-76A7CBE9A9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18" firstHeaderRow="1" firstDataRow="1" firstDataCol="1" rowPageCount="1" colPageCount="1"/>
  <pivotFields count="9">
    <pivotField showAll="0"/>
    <pivotField showAll="0"/>
    <pivotField showAll="0"/>
    <pivotField axis="axisPage" multipleItemSelectionAllowed="1" showAll="0">
      <items count="11">
        <item x="2"/>
        <item x="4"/>
        <item x="5"/>
        <item x="6"/>
        <item h="1" x="0"/>
        <item h="1" x="8"/>
        <item h="1" x="1"/>
        <item h="1" x="7"/>
        <item h="1" x="3"/>
        <item h="1" x="9"/>
        <item t="default"/>
      </items>
    </pivotField>
    <pivotField showAll="0"/>
    <pivotField dataField="1" showAll="0"/>
    <pivotField showAll="0"/>
    <pivotField axis="axisRow" showAll="0">
      <items count="13">
        <item x="0"/>
        <item x="1"/>
        <item x="2"/>
        <item x="3"/>
        <item x="4"/>
        <item x="5"/>
        <item x="6"/>
        <item x="7"/>
        <item x="8"/>
        <item x="9"/>
        <item x="10"/>
        <item x="11"/>
        <item t="default"/>
      </items>
    </pivotField>
    <pivotField showAll="0"/>
  </pivotFields>
  <rowFields count="1">
    <field x="7"/>
  </rowFields>
  <rowItems count="13">
    <i>
      <x/>
    </i>
    <i>
      <x v="1"/>
    </i>
    <i>
      <x v="2"/>
    </i>
    <i>
      <x v="3"/>
    </i>
    <i>
      <x v="4"/>
    </i>
    <i>
      <x v="5"/>
    </i>
    <i>
      <x v="6"/>
    </i>
    <i>
      <x v="7"/>
    </i>
    <i>
      <x v="8"/>
    </i>
    <i>
      <x v="9"/>
    </i>
    <i>
      <x v="10"/>
    </i>
    <i>
      <x v="11"/>
    </i>
    <i t="grand">
      <x/>
    </i>
  </rowItems>
  <colItems count="1">
    <i/>
  </colItems>
  <pageFields count="1">
    <pageField fld="3" hier="-1"/>
  </pageFields>
  <dataFields count="1">
    <dataField name="Sum of Credit" fld="5"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7</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C9B7724C-0992-42CF-BE87-5899F4310AC3}" sourceName="Month2">
  <pivotTables>
    <pivotTable tabId="14" name="PivotTable3"/>
    <pivotTable tabId="14" name="PivotTable2"/>
    <pivotTable tabId="14" name="PivotTable20"/>
    <pivotTable tabId="14" name="PivotTable5"/>
    <pivotTable tabId="14" name="PivotTable6"/>
    <pivotTable tabId="14" name="PivotTable7"/>
  </pivotTables>
  <data>
    <tabular pivotCacheId="154004162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2" xr10:uid="{EBB74187-7BB8-4636-9FCD-E0650445C80D}" cache="Slicer_Month2" caption="Month2"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9D59D6-26A1-4121-9B01-2F5FD84784BF}" name="Budget3" displayName="Budget3" ref="A10:I707" totalsRowShown="0">
  <autoFilter ref="A10:I707" xr:uid="{03108848-D212-47D8-9239-2C292492F0F9}"/>
  <tableColumns count="9">
    <tableColumn id="1" xr3:uid="{D414F4F0-8A57-4506-84D6-670A50717B6A}" name="Month" dataDxfId="24">
      <calculatedColumnFormula>MONTH(Budget3[[#This Row],[Date]])</calculatedColumnFormula>
    </tableColumn>
    <tableColumn id="5" xr3:uid="{A5193E91-941F-4BBD-BEC6-10CDD18A9F66}" name="Date" dataDxfId="23"/>
    <tableColumn id="2" xr3:uid="{62CFF645-4B0A-4ACA-93E9-A222268788F4}" name="Description"/>
    <tableColumn id="3" xr3:uid="{76DCE9D3-E187-4F73-9BCB-FCFBA12471DC}" name="Category"/>
    <tableColumn id="6" xr3:uid="{59C73710-D307-4D5E-A958-42278928C359}" name="Income" dataCellStyle="Currency"/>
    <tableColumn id="7" xr3:uid="{1D47B948-D100-4AA2-A4D1-4E0FE52148CD}" name="Credit" dataCellStyle="Currency"/>
    <tableColumn id="4" xr3:uid="{5BC6D9C0-5055-416B-A6F3-72DF144B69DD}" name="IGNORE" dataCellStyle="Currency">
      <calculatedColumnFormula>SUM(G10+Budget3[[#This Row],[Income]]-Budget3[[#This Row],[Credit]])</calculatedColumnFormula>
    </tableColumn>
    <tableColumn id="8" xr3:uid="{E8C50AB3-2A6F-4FA5-9F93-E4BBCA60376F}" name="Month2" dataDxfId="22" dataCellStyle="Currency">
      <calculatedColumnFormula>TEXT(Budget3[[#This Row],[Date]], "mmm")</calculatedColumnFormula>
    </tableColumn>
    <tableColumn id="9" xr3:uid="{8D88EF1E-738C-4E58-9FE9-2583D6386EC8}" name="SubCategory" dataDxfId="21" dataCellStyle="Currency">
      <calculatedColumnFormula>IF(ISNUMBER(SEARCH("income", Budget3[[#This Row],[Category]])), "Income", "")</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6AAB47-5DB8-4054-B714-23B6DEB0D912}" name="Table57" displayName="Table57" ref="F1:G8" totalsRowShown="0">
  <autoFilter ref="F1:G8" xr:uid="{B6F41C1B-1CBA-4ADC-B191-36C530F89F9A}"/>
  <tableColumns count="2">
    <tableColumn id="1" xr3:uid="{FBC54164-FF72-4F90-A6C8-7DD4D264E769}" name="BAL"/>
    <tableColumn id="2" xr3:uid="{D2A07B01-8F87-45F5-B299-245544390246}" name="COMPLETE TOTAL"/>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08848-D212-47D8-9239-2C292492F0F9}" name="Budget" displayName="Budget" ref="A9:G686" totalsRowShown="0">
  <autoFilter ref="A9:G686" xr:uid="{03108848-D212-47D8-9239-2C292492F0F9}"/>
  <tableColumns count="7">
    <tableColumn id="1" xr3:uid="{6B16832E-6234-4BFA-B3DF-889E655C2095}" name="Month" dataDxfId="20">
      <calculatedColumnFormula>MONTH(Budget[[#This Row],[Date]])</calculatedColumnFormula>
    </tableColumn>
    <tableColumn id="5" xr3:uid="{B754746F-8643-4CC9-AC54-B84DC31668C7}" name="Date" dataDxfId="19"/>
    <tableColumn id="2" xr3:uid="{B1DF384D-617B-4981-A368-4371610EE5E4}" name="Description"/>
    <tableColumn id="3" xr3:uid="{159647B4-1BB8-4805-93AF-E6F8C9C52F68}" name="Category"/>
    <tableColumn id="6" xr3:uid="{318F04EE-0463-4C43-B0C2-8CAFA46F49FE}" name="Income" dataCellStyle="Currency"/>
    <tableColumn id="7" xr3:uid="{DBB929C3-204A-4DDA-B6EC-8ADE8253DC9C}" name="Debit" dataCellStyle="Currency"/>
    <tableColumn id="4" xr3:uid="{E36C2DAD-E916-4D2B-8F28-E9110AD33F8E}" name="Balance" dataCellStyle="Currency">
      <calculatedColumnFormula>SUM(G9+Budget[[#This Row],[Income]]-Budget[[#This Row],[Debit]])</calculatedColumnFormula>
    </tableColumn>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F41C1B-1CBA-4ADC-B191-36C530F89F9A}" name="Table5" displayName="Table5" ref="F1:G7" totalsRowShown="0">
  <autoFilter ref="F1:G7" xr:uid="{B6F41C1B-1CBA-4ADC-B191-36C530F89F9A}"/>
  <tableColumns count="2">
    <tableColumn id="1" xr3:uid="{4D0BC810-7359-42DC-A8C3-EFFDA4210F85}" name="BAL"/>
    <tableColumn id="2" xr3:uid="{51C77064-78FA-4460-9754-2434382423DE}" name="COMPLETE TOTAL"/>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workplaceservices.fidelity.com/mybenefits/workplacefunds/summary/O1RW?suppressFundFactSheet=true" TargetMode="External"/><Relationship Id="rId13" Type="http://schemas.openxmlformats.org/officeDocument/2006/relationships/hyperlink" Target="https://workplaceservices.fidelity.com/mybenefits/workplacefunds/summary/GD3B?suppressFundFactSheet=true" TargetMode="External"/><Relationship Id="rId18" Type="http://schemas.openxmlformats.org/officeDocument/2006/relationships/hyperlink" Target="https://workplaceservices.fidelity.com/mybenefits/workplacefunds/summary/2834?suppressFundFactSheet=true" TargetMode="External"/><Relationship Id="rId3" Type="http://schemas.openxmlformats.org/officeDocument/2006/relationships/hyperlink" Target="https://workplaceservices.fidelity.com/mybenefits/workplacefunds/summary/ODO7?suppressFundFactSheet=true" TargetMode="External"/><Relationship Id="rId7" Type="http://schemas.openxmlformats.org/officeDocument/2006/relationships/hyperlink" Target="https://workplaceservices.fidelity.com/mybenefits/workplacefunds/summary/OEKN?suppressFundFactSheet=true" TargetMode="External"/><Relationship Id="rId12" Type="http://schemas.openxmlformats.org/officeDocument/2006/relationships/hyperlink" Target="https://workplaceservices.fidelity.com/mybenefits/workplacefunds/summary/PCH1?suppressFundFactSheet=true" TargetMode="External"/><Relationship Id="rId17" Type="http://schemas.openxmlformats.org/officeDocument/2006/relationships/hyperlink" Target="https://workplaceservices.fidelity.com/mybenefits/workplacefunds/summary/2326?suppressFundFactSheet=true" TargetMode="External"/><Relationship Id="rId2" Type="http://schemas.openxmlformats.org/officeDocument/2006/relationships/hyperlink" Target="https://workplaceservices.fidelity.com/mybenefits/workplacefunds/summary/OVDP?suppressFundFactSheet=true" TargetMode="External"/><Relationship Id="rId16" Type="http://schemas.openxmlformats.org/officeDocument/2006/relationships/hyperlink" Target="https://workplaceservices.fidelity.com/mybenefits/workplacefunds/summary/OUCG?suppressFundFactSheet=true" TargetMode="External"/><Relationship Id="rId1" Type="http://schemas.openxmlformats.org/officeDocument/2006/relationships/hyperlink" Target="https://workplaceservices.fidelity.com/mybenefits/workplacefunds/summary/2352?suppressFundFactSheet=true" TargetMode="External"/><Relationship Id="rId6" Type="http://schemas.openxmlformats.org/officeDocument/2006/relationships/hyperlink" Target="https://workplaceservices.fidelity.com/mybenefits/workplacefunds/summary/PCK1?suppressFundFactSheet=true" TargetMode="External"/><Relationship Id="rId11" Type="http://schemas.openxmlformats.org/officeDocument/2006/relationships/hyperlink" Target="https://workplaceservices.fidelity.com/mybenefits/workplacefunds/summary/OUFP?suppressFundFactSheet=true" TargetMode="External"/><Relationship Id="rId5" Type="http://schemas.openxmlformats.org/officeDocument/2006/relationships/hyperlink" Target="https://workplaceservices.fidelity.com/mybenefits/workplacefunds/summary/PCM1?suppressFundFactSheet=true" TargetMode="External"/><Relationship Id="rId15" Type="http://schemas.openxmlformats.org/officeDocument/2006/relationships/hyperlink" Target="https://workplaceservices.fidelity.com/mybenefits/workplacefunds/summary/2358?suppressFundFactSheet=true" TargetMode="External"/><Relationship Id="rId10" Type="http://schemas.openxmlformats.org/officeDocument/2006/relationships/hyperlink" Target="https://workplaceservices.fidelity.com/mybenefits/workplacefunds/summary/PCG1?suppressFundFactSheet=true" TargetMode="External"/><Relationship Id="rId4" Type="http://schemas.openxmlformats.org/officeDocument/2006/relationships/hyperlink" Target="https://workplaceservices.fidelity.com/mybenefits/workplacefunds/summary/PCJ1?suppressFundFactSheet=true" TargetMode="External"/><Relationship Id="rId9" Type="http://schemas.openxmlformats.org/officeDocument/2006/relationships/hyperlink" Target="https://workplaceservices.fidelity.com/mybenefits/workplacefunds/summary/PCL1?suppressFundFactSheet=true" TargetMode="External"/><Relationship Id="rId14" Type="http://schemas.openxmlformats.org/officeDocument/2006/relationships/hyperlink" Target="https://workplaceservices.fidelity.com/mybenefits/workplacefunds/summary/2328?suppressFundFactShee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882EE-94AF-49F7-8BA3-044A3C529126}">
  <dimension ref="A1"/>
  <sheetViews>
    <sheetView showGridLines="0" tabSelected="1" topLeftCell="C1" zoomScale="85" zoomScaleNormal="110" workbookViewId="0">
      <selection activeCell="Y31" sqref="Y31"/>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75E4F-B17A-4108-B9BF-E399BC9910C1}">
  <dimension ref="A1:V34"/>
  <sheetViews>
    <sheetView workbookViewId="0">
      <selection activeCell="G10" sqref="G10"/>
    </sheetView>
  </sheetViews>
  <sheetFormatPr defaultRowHeight="14.25" x14ac:dyDescent="0.45"/>
  <cols>
    <col min="1" max="1" width="11.86328125" bestFit="1" customWidth="1"/>
    <col min="2" max="2" width="11.53125" bestFit="1" customWidth="1"/>
    <col min="4" max="4" width="11.86328125" bestFit="1" customWidth="1"/>
    <col min="5" max="5" width="12.53125" bestFit="1" customWidth="1"/>
    <col min="7" max="7" width="11.86328125" bestFit="1" customWidth="1"/>
    <col min="8" max="8" width="15.19921875" bestFit="1" customWidth="1"/>
    <col min="9" max="9" width="11.19921875" bestFit="1" customWidth="1"/>
    <col min="10" max="10" width="12.46484375" bestFit="1" customWidth="1"/>
    <col min="11" max="11" width="13.33203125" bestFit="1" customWidth="1"/>
    <col min="13" max="13" width="14.53125" bestFit="1" customWidth="1"/>
    <col min="14" max="14" width="11.53125" bestFit="1" customWidth="1"/>
    <col min="16" max="16" width="11.86328125" bestFit="1" customWidth="1"/>
    <col min="17" max="17" width="11.53125" bestFit="1" customWidth="1"/>
    <col min="18" max="18" width="12.53125" bestFit="1" customWidth="1"/>
    <col min="20" max="20" width="11.86328125" bestFit="1" customWidth="1"/>
    <col min="21" max="21" width="11.53125" bestFit="1" customWidth="1"/>
    <col min="22" max="22" width="12.53125" bestFit="1" customWidth="1"/>
  </cols>
  <sheetData>
    <row r="1" spans="1:22" x14ac:dyDescent="0.45">
      <c r="A1" s="84" t="s">
        <v>336</v>
      </c>
      <c r="B1" s="84"/>
      <c r="D1" s="84" t="s">
        <v>333</v>
      </c>
      <c r="E1" s="84"/>
      <c r="G1" s="84" t="s">
        <v>334</v>
      </c>
      <c r="H1" s="84"/>
      <c r="J1" s="84" t="s">
        <v>335</v>
      </c>
      <c r="K1" s="84"/>
      <c r="M1" s="84" t="s">
        <v>313</v>
      </c>
      <c r="N1" s="84"/>
      <c r="P1" s="84" t="s">
        <v>348</v>
      </c>
      <c r="Q1" s="84"/>
      <c r="R1" s="84"/>
      <c r="T1" s="84" t="s">
        <v>347</v>
      </c>
      <c r="U1" s="84"/>
      <c r="V1" s="84"/>
    </row>
    <row r="3" spans="1:22" x14ac:dyDescent="0.45">
      <c r="A3" s="78" t="s">
        <v>315</v>
      </c>
      <c r="B3" t="s">
        <v>331</v>
      </c>
      <c r="D3" s="78" t="s">
        <v>315</v>
      </c>
      <c r="E3" t="s">
        <v>317</v>
      </c>
      <c r="G3" s="78" t="s">
        <v>3</v>
      </c>
      <c r="H3" t="s">
        <v>332</v>
      </c>
      <c r="J3" s="78" t="s">
        <v>3</v>
      </c>
      <c r="K3" t="s">
        <v>4</v>
      </c>
      <c r="M3" s="78" t="s">
        <v>315</v>
      </c>
      <c r="N3" t="s">
        <v>331</v>
      </c>
      <c r="P3" s="78" t="s">
        <v>315</v>
      </c>
      <c r="Q3" t="s">
        <v>331</v>
      </c>
      <c r="R3" t="s">
        <v>317</v>
      </c>
      <c r="T3" s="78" t="s">
        <v>315</v>
      </c>
      <c r="U3" t="s">
        <v>331</v>
      </c>
      <c r="V3" t="s">
        <v>317</v>
      </c>
    </row>
    <row r="4" spans="1:22" x14ac:dyDescent="0.45">
      <c r="A4" s="79" t="s">
        <v>130</v>
      </c>
      <c r="B4" s="5">
        <v>5112.7100000000009</v>
      </c>
      <c r="D4" s="79" t="s">
        <v>4</v>
      </c>
      <c r="E4" s="5">
        <v>28370.2</v>
      </c>
      <c r="M4" s="79" t="s">
        <v>9</v>
      </c>
      <c r="N4" s="5">
        <v>1714</v>
      </c>
      <c r="P4" s="79" t="s">
        <v>130</v>
      </c>
      <c r="Q4" s="5">
        <v>5112.7100000000028</v>
      </c>
      <c r="R4" s="5"/>
      <c r="T4" s="79" t="s">
        <v>342</v>
      </c>
      <c r="U4" s="5">
        <v>1653.4699999999998</v>
      </c>
      <c r="V4" s="5"/>
    </row>
    <row r="5" spans="1:22" x14ac:dyDescent="0.45">
      <c r="A5" s="79" t="s">
        <v>13</v>
      </c>
      <c r="B5" s="5">
        <v>4400.0400000000009</v>
      </c>
      <c r="D5" s="79" t="s">
        <v>100</v>
      </c>
      <c r="E5" s="5">
        <v>-11497.28</v>
      </c>
      <c r="G5" s="78" t="s">
        <v>315</v>
      </c>
      <c r="H5" t="s">
        <v>331</v>
      </c>
      <c r="J5" s="78" t="s">
        <v>315</v>
      </c>
      <c r="K5" t="s">
        <v>317</v>
      </c>
      <c r="M5" s="79" t="s">
        <v>35</v>
      </c>
      <c r="N5" s="5">
        <v>330.23999999999995</v>
      </c>
      <c r="P5" s="79" t="s">
        <v>13</v>
      </c>
      <c r="Q5" s="5">
        <v>4400.0399999999981</v>
      </c>
      <c r="R5" s="5"/>
      <c r="T5" s="79" t="s">
        <v>339</v>
      </c>
      <c r="U5" s="5">
        <v>2439.0700000000002</v>
      </c>
      <c r="V5" s="5"/>
    </row>
    <row r="6" spans="1:22" x14ac:dyDescent="0.45">
      <c r="A6" s="79" t="s">
        <v>39</v>
      </c>
      <c r="B6" s="5">
        <v>2439.0699999999993</v>
      </c>
      <c r="D6" s="79" t="s">
        <v>316</v>
      </c>
      <c r="E6" s="5">
        <v>16872.919999999998</v>
      </c>
      <c r="G6" s="79" t="s">
        <v>318</v>
      </c>
      <c r="H6" s="5">
        <v>1258.6400000000001</v>
      </c>
      <c r="J6" s="79" t="s">
        <v>318</v>
      </c>
      <c r="K6" s="5">
        <v>2471.81</v>
      </c>
      <c r="M6" s="79" t="s">
        <v>316</v>
      </c>
      <c r="N6" s="5">
        <v>2044.24</v>
      </c>
      <c r="P6" s="79" t="s">
        <v>39</v>
      </c>
      <c r="Q6" s="5">
        <v>2439.0700000000002</v>
      </c>
      <c r="R6" s="5"/>
      <c r="T6" s="79" t="s">
        <v>345</v>
      </c>
      <c r="U6" s="5">
        <v>66.12</v>
      </c>
      <c r="V6" s="5"/>
    </row>
    <row r="7" spans="1:22" x14ac:dyDescent="0.45">
      <c r="A7" s="79" t="s">
        <v>16</v>
      </c>
      <c r="B7" s="5">
        <v>1583.3800000000003</v>
      </c>
      <c r="G7" s="79" t="s">
        <v>319</v>
      </c>
      <c r="H7" s="5">
        <v>951.75</v>
      </c>
      <c r="J7" s="79" t="s">
        <v>319</v>
      </c>
      <c r="K7" s="5">
        <v>2021.45</v>
      </c>
      <c r="P7" s="79" t="s">
        <v>9</v>
      </c>
      <c r="Q7" s="5">
        <v>1714</v>
      </c>
      <c r="R7" s="5"/>
      <c r="T7" s="79" t="s">
        <v>16</v>
      </c>
      <c r="U7" s="5">
        <v>1583.3800000000003</v>
      </c>
      <c r="V7" s="5"/>
    </row>
    <row r="8" spans="1:22" x14ac:dyDescent="0.45">
      <c r="A8" s="79" t="s">
        <v>316</v>
      </c>
      <c r="B8" s="5">
        <v>13535.200000000003</v>
      </c>
      <c r="G8" s="79" t="s">
        <v>320</v>
      </c>
      <c r="H8" s="5">
        <v>1650.0899999999995</v>
      </c>
      <c r="J8" s="79" t="s">
        <v>320</v>
      </c>
      <c r="K8" s="5">
        <v>1243.4000000000001</v>
      </c>
      <c r="P8" s="79" t="s">
        <v>16</v>
      </c>
      <c r="Q8" s="5">
        <v>1583.3800000000003</v>
      </c>
      <c r="R8" s="5"/>
      <c r="T8" s="79" t="s">
        <v>13</v>
      </c>
      <c r="U8" s="5">
        <v>4400.04</v>
      </c>
      <c r="V8" s="5"/>
    </row>
    <row r="9" spans="1:22" x14ac:dyDescent="0.45">
      <c r="G9" s="79" t="s">
        <v>321</v>
      </c>
      <c r="H9" s="5">
        <v>989.64999999999986</v>
      </c>
      <c r="J9" s="79" t="s">
        <v>321</v>
      </c>
      <c r="K9" s="5">
        <v>882.1</v>
      </c>
      <c r="P9" s="79" t="s">
        <v>100</v>
      </c>
      <c r="Q9" s="5"/>
      <c r="R9" s="5">
        <v>-11497.279999999999</v>
      </c>
      <c r="T9" s="79" t="s">
        <v>343</v>
      </c>
      <c r="U9" s="5">
        <v>593.33999999999992</v>
      </c>
      <c r="V9" s="5"/>
    </row>
    <row r="10" spans="1:22" x14ac:dyDescent="0.45">
      <c r="G10" s="79" t="s">
        <v>322</v>
      </c>
      <c r="H10" s="5">
        <v>939.2800000000002</v>
      </c>
      <c r="J10" s="79" t="s">
        <v>322</v>
      </c>
      <c r="K10" s="5">
        <v>1864.77</v>
      </c>
      <c r="P10" s="79" t="s">
        <v>4</v>
      </c>
      <c r="Q10" s="5"/>
      <c r="R10" s="5">
        <v>28370.2</v>
      </c>
      <c r="T10" s="79" t="s">
        <v>312</v>
      </c>
      <c r="U10" s="5">
        <v>2503.2899999999995</v>
      </c>
      <c r="V10" s="5"/>
    </row>
    <row r="11" spans="1:22" x14ac:dyDescent="0.45">
      <c r="G11" s="79" t="s">
        <v>323</v>
      </c>
      <c r="H11" s="5">
        <v>1091.4799999999998</v>
      </c>
      <c r="J11" s="79" t="s">
        <v>323</v>
      </c>
      <c r="K11" s="5">
        <v>1418.96</v>
      </c>
      <c r="P11" s="79" t="s">
        <v>316</v>
      </c>
      <c r="Q11" s="5">
        <v>15249.2</v>
      </c>
      <c r="R11" s="5">
        <v>16872.920000000002</v>
      </c>
      <c r="T11" s="79" t="s">
        <v>9</v>
      </c>
      <c r="U11" s="5">
        <v>2044.2400000000002</v>
      </c>
      <c r="V11" s="5"/>
    </row>
    <row r="12" spans="1:22" x14ac:dyDescent="0.45">
      <c r="G12" s="79" t="s">
        <v>324</v>
      </c>
      <c r="H12" s="5">
        <v>733.11999999999989</v>
      </c>
      <c r="J12" s="79" t="s">
        <v>324</v>
      </c>
      <c r="K12" s="5">
        <v>1903.31</v>
      </c>
      <c r="T12" s="79" t="s">
        <v>344</v>
      </c>
      <c r="U12" s="5">
        <v>296.48999999999995</v>
      </c>
      <c r="V12" s="5"/>
    </row>
    <row r="13" spans="1:22" x14ac:dyDescent="0.45">
      <c r="G13" s="79" t="s">
        <v>325</v>
      </c>
      <c r="H13" s="5">
        <v>1431.2599999999995</v>
      </c>
      <c r="J13" s="79" t="s">
        <v>325</v>
      </c>
      <c r="K13" s="5">
        <v>2136.34</v>
      </c>
      <c r="T13" s="79" t="s">
        <v>100</v>
      </c>
      <c r="U13" s="5"/>
      <c r="V13" s="5">
        <v>-11497.28</v>
      </c>
    </row>
    <row r="14" spans="1:22" x14ac:dyDescent="0.45">
      <c r="G14" s="79" t="s">
        <v>326</v>
      </c>
      <c r="H14" s="5">
        <v>1711.22</v>
      </c>
      <c r="J14" s="79" t="s">
        <v>326</v>
      </c>
      <c r="K14" s="5">
        <v>13275.2</v>
      </c>
      <c r="T14" s="79" t="s">
        <v>316</v>
      </c>
      <c r="U14" s="5">
        <v>15579.439999999999</v>
      </c>
      <c r="V14" s="5">
        <v>-11497.28</v>
      </c>
    </row>
    <row r="15" spans="1:22" x14ac:dyDescent="0.45">
      <c r="G15" s="79" t="s">
        <v>327</v>
      </c>
      <c r="H15" s="5">
        <v>539.55000000000018</v>
      </c>
      <c r="J15" s="79" t="s">
        <v>327</v>
      </c>
      <c r="K15" s="5">
        <v>1065.8599999999999</v>
      </c>
    </row>
    <row r="16" spans="1:22" x14ac:dyDescent="0.45">
      <c r="G16" s="79" t="s">
        <v>328</v>
      </c>
      <c r="H16" s="5">
        <v>1174.8</v>
      </c>
      <c r="J16" s="79" t="s">
        <v>328</v>
      </c>
      <c r="K16" s="5">
        <v>45</v>
      </c>
    </row>
    <row r="17" spans="1:21" x14ac:dyDescent="0.45">
      <c r="G17" s="79" t="s">
        <v>329</v>
      </c>
      <c r="H17" s="5">
        <v>1064.3599999999999</v>
      </c>
      <c r="J17" s="79" t="s">
        <v>329</v>
      </c>
      <c r="K17" s="5">
        <v>42</v>
      </c>
    </row>
    <row r="18" spans="1:21" x14ac:dyDescent="0.45">
      <c r="G18" s="79" t="s">
        <v>316</v>
      </c>
      <c r="H18" s="5">
        <v>13535.199999999997</v>
      </c>
      <c r="J18" s="79" t="s">
        <v>316</v>
      </c>
      <c r="K18" s="5">
        <v>28370.200000000004</v>
      </c>
    </row>
    <row r="22" spans="1:21" x14ac:dyDescent="0.45">
      <c r="D22" s="80" t="s">
        <v>338</v>
      </c>
      <c r="H22" s="77" t="s">
        <v>337</v>
      </c>
      <c r="I22" s="77" t="s">
        <v>4</v>
      </c>
      <c r="P22" t="str">
        <f>P10</f>
        <v>Income</v>
      </c>
      <c r="Q22" s="81">
        <f>GETPIVOTDATA("Sum of Income",$P$3,"Category",P22)</f>
        <v>28370.2</v>
      </c>
      <c r="T22" t="str">
        <f>T4</f>
        <v>Concert</v>
      </c>
      <c r="U22" s="81">
        <f>GETPIVOTDATA("Sum of Credit",$T$3,"SubCategory",T22)</f>
        <v>1653.4699999999998</v>
      </c>
    </row>
    <row r="23" spans="1:21" x14ac:dyDescent="0.45">
      <c r="A23" t="str">
        <f>A4</f>
        <v>Entertainment</v>
      </c>
      <c r="B23" s="81">
        <f>GETPIVOTDATA("Credit",$A$3,"Category",A23)</f>
        <v>5112.7100000000009</v>
      </c>
      <c r="D23" t="s">
        <v>22</v>
      </c>
      <c r="E23" s="81">
        <f>ABS(GETPIVOTDATA("Income",$D$3,"Category","ZELLE"))</f>
        <v>11497.28</v>
      </c>
      <c r="G23" t="str">
        <f>G6</f>
        <v>Jan</v>
      </c>
      <c r="H23" s="83">
        <f>GETPIVOTDATA("Credit",$G$5,"Month2",G23)</f>
        <v>1258.6400000000001</v>
      </c>
      <c r="I23" s="83">
        <f>GETPIVOTDATA("Income",$J$5,"Month2",G23)</f>
        <v>2471.81</v>
      </c>
      <c r="M23" s="77" t="str">
        <f>M4</f>
        <v>Savings</v>
      </c>
      <c r="N23" s="81">
        <f>GETPIVOTDATA("Credit",$M$3,"Category",M23)</f>
        <v>1714</v>
      </c>
      <c r="P23" t="str">
        <f>P9</f>
        <v>ZELLE</v>
      </c>
      <c r="Q23" s="81">
        <f>GETPIVOTDATA("Sum of Income",$P$3,"Category",P23)</f>
        <v>-11497.279999999999</v>
      </c>
      <c r="T23" t="str">
        <f t="shared" ref="T23:T29" si="0">T5</f>
        <v>Eating out</v>
      </c>
      <c r="U23" s="81">
        <f t="shared" ref="U23:U30" si="1">GETPIVOTDATA("Sum of Credit",$T$3,"SubCategory",T23)</f>
        <v>2439.0700000000002</v>
      </c>
    </row>
    <row r="24" spans="1:21" x14ac:dyDescent="0.45">
      <c r="A24" t="str">
        <f t="shared" ref="A24:A26" si="2">A5</f>
        <v>Groceries</v>
      </c>
      <c r="B24" s="81">
        <f t="shared" ref="B24:B26" si="3">GETPIVOTDATA("Credit",$A$3,"Category",A24)</f>
        <v>4400.0400000000009</v>
      </c>
      <c r="D24" t="s">
        <v>330</v>
      </c>
      <c r="E24" s="81">
        <f>GETPIVOTDATA("Credit",$A$3)</f>
        <v>13535.200000000003</v>
      </c>
      <c r="G24" t="str">
        <f t="shared" ref="G24:G34" si="4">G7</f>
        <v>Feb</v>
      </c>
      <c r="H24" s="83">
        <f t="shared" ref="H24:H34" si="5">GETPIVOTDATA("Credit",$G$5,"Month2",G24)</f>
        <v>951.75</v>
      </c>
      <c r="I24" s="83">
        <f t="shared" ref="I24:I34" si="6">GETPIVOTDATA("Income",$J$5,"Month2",G24)</f>
        <v>2021.45</v>
      </c>
      <c r="M24" s="77" t="str">
        <f>M5</f>
        <v>INTEREST Savings</v>
      </c>
      <c r="N24" s="81">
        <f>GETPIVOTDATA("Credit",$M$3,"Category",M24)</f>
        <v>330.23999999999995</v>
      </c>
      <c r="P24" t="str">
        <f>P4</f>
        <v>Entertainment</v>
      </c>
      <c r="Q24" s="81">
        <f>-(GETPIVOTDATA("Sum of Credit",$P$3,"Category",P24))</f>
        <v>-5112.7100000000028</v>
      </c>
      <c r="T24" t="str">
        <f t="shared" si="0"/>
        <v>Games</v>
      </c>
      <c r="U24" s="81">
        <f t="shared" si="1"/>
        <v>66.12</v>
      </c>
    </row>
    <row r="25" spans="1:21" x14ac:dyDescent="0.45">
      <c r="A25" t="str">
        <f t="shared" si="2"/>
        <v>Food</v>
      </c>
      <c r="B25" s="81">
        <f t="shared" si="3"/>
        <v>2439.0699999999993</v>
      </c>
      <c r="D25" t="s">
        <v>314</v>
      </c>
      <c r="E25" s="82">
        <f>SUM(E23:E24)</f>
        <v>25032.480000000003</v>
      </c>
      <c r="G25" t="str">
        <f t="shared" si="4"/>
        <v>Mar</v>
      </c>
      <c r="H25" s="83">
        <f t="shared" si="5"/>
        <v>1650.0899999999995</v>
      </c>
      <c r="I25" s="83">
        <f t="shared" si="6"/>
        <v>1243.4000000000001</v>
      </c>
      <c r="P25" t="str">
        <f>P5</f>
        <v>Groceries</v>
      </c>
      <c r="Q25" s="81">
        <f>-(GETPIVOTDATA("Sum of Credit",$P$3,"Category",P25))</f>
        <v>-4400.0399999999981</v>
      </c>
      <c r="T25" t="str">
        <f t="shared" si="0"/>
        <v>Gas</v>
      </c>
      <c r="U25" s="81">
        <f t="shared" si="1"/>
        <v>1583.3800000000003</v>
      </c>
    </row>
    <row r="26" spans="1:21" x14ac:dyDescent="0.45">
      <c r="A26" t="str">
        <f t="shared" si="2"/>
        <v>Gas</v>
      </c>
      <c r="B26" s="81">
        <f t="shared" si="3"/>
        <v>1583.3800000000003</v>
      </c>
      <c r="G26" t="str">
        <f t="shared" si="4"/>
        <v>Apr</v>
      </c>
      <c r="H26" s="83">
        <f t="shared" si="5"/>
        <v>989.64999999999986</v>
      </c>
      <c r="I26" s="83">
        <f t="shared" si="6"/>
        <v>882.1</v>
      </c>
      <c r="P26" t="str">
        <f>P6</f>
        <v>Food</v>
      </c>
      <c r="Q26" s="81">
        <f>-(GETPIVOTDATA("Sum of Credit",$P$3,"Category",P26))</f>
        <v>-2439.0700000000002</v>
      </c>
      <c r="T26" t="str">
        <f t="shared" si="0"/>
        <v>Groceries</v>
      </c>
      <c r="U26" s="81">
        <f t="shared" si="1"/>
        <v>4400.04</v>
      </c>
    </row>
    <row r="27" spans="1:21" x14ac:dyDescent="0.45">
      <c r="G27" t="str">
        <f t="shared" si="4"/>
        <v>May</v>
      </c>
      <c r="H27" s="83">
        <f t="shared" si="5"/>
        <v>939.2800000000002</v>
      </c>
      <c r="I27" s="83">
        <f t="shared" si="6"/>
        <v>1864.77</v>
      </c>
      <c r="P27" t="str">
        <f>P8</f>
        <v>Gas</v>
      </c>
      <c r="Q27" s="81">
        <f>-(GETPIVOTDATA("Sum of Credit",$P$3,"Category",P27))</f>
        <v>-1583.3800000000003</v>
      </c>
      <c r="T27" t="str">
        <f t="shared" si="0"/>
        <v>Outing</v>
      </c>
      <c r="U27" s="81">
        <f t="shared" si="1"/>
        <v>593.33999999999992</v>
      </c>
    </row>
    <row r="28" spans="1:21" x14ac:dyDescent="0.45">
      <c r="G28" t="str">
        <f t="shared" si="4"/>
        <v>Jun</v>
      </c>
      <c r="H28" s="83">
        <f t="shared" si="5"/>
        <v>1091.4799999999998</v>
      </c>
      <c r="I28" s="83">
        <f t="shared" si="6"/>
        <v>1418.96</v>
      </c>
      <c r="P28" t="str">
        <f>P7</f>
        <v>Savings</v>
      </c>
      <c r="Q28" s="81">
        <f>-(GETPIVOTDATA("Sum of Credit",$P$3,"Category",P28))</f>
        <v>-1714</v>
      </c>
      <c r="T28" t="str">
        <f t="shared" si="0"/>
        <v>Pokemon</v>
      </c>
      <c r="U28" s="81">
        <f t="shared" si="1"/>
        <v>2503.2899999999995</v>
      </c>
    </row>
    <row r="29" spans="1:21" x14ac:dyDescent="0.45">
      <c r="G29" t="str">
        <f t="shared" si="4"/>
        <v>Jul</v>
      </c>
      <c r="H29" s="83">
        <f t="shared" si="5"/>
        <v>733.11999999999989</v>
      </c>
      <c r="I29" s="83">
        <f t="shared" si="6"/>
        <v>1903.31</v>
      </c>
      <c r="T29" t="str">
        <f t="shared" si="0"/>
        <v>Savings</v>
      </c>
      <c r="U29" s="81">
        <f t="shared" si="1"/>
        <v>2044.2400000000002</v>
      </c>
    </row>
    <row r="30" spans="1:21" x14ac:dyDescent="0.45">
      <c r="D30" t="s">
        <v>4</v>
      </c>
      <c r="E30" s="81">
        <f>GETPIVOTDATA("Income",$J$5)</f>
        <v>28370.200000000004</v>
      </c>
      <c r="G30" t="str">
        <f t="shared" si="4"/>
        <v>Aug</v>
      </c>
      <c r="H30" s="83">
        <f t="shared" si="5"/>
        <v>1431.2599999999995</v>
      </c>
      <c r="I30" s="83">
        <f t="shared" si="6"/>
        <v>2136.34</v>
      </c>
      <c r="T30" t="str">
        <f>T12</f>
        <v>Subscription</v>
      </c>
      <c r="U30" s="81">
        <f t="shared" si="1"/>
        <v>296.48999999999995</v>
      </c>
    </row>
    <row r="31" spans="1:21" x14ac:dyDescent="0.45">
      <c r="D31" t="s">
        <v>338</v>
      </c>
      <c r="E31" s="82">
        <f>-(E25)</f>
        <v>-25032.480000000003</v>
      </c>
      <c r="G31" t="str">
        <f t="shared" si="4"/>
        <v>Sep</v>
      </c>
      <c r="H31" s="83">
        <f t="shared" si="5"/>
        <v>1711.22</v>
      </c>
      <c r="I31" s="83">
        <f t="shared" si="6"/>
        <v>13275.2</v>
      </c>
      <c r="T31" t="str">
        <f>T13</f>
        <v>ZELLE</v>
      </c>
      <c r="U31" s="81">
        <f>ABS(GETPIVOTDATA("Sum of Income",$T$3,"SubCategory",T31))</f>
        <v>11497.28</v>
      </c>
    </row>
    <row r="32" spans="1:21" x14ac:dyDescent="0.45">
      <c r="G32" t="str">
        <f t="shared" si="4"/>
        <v>Oct</v>
      </c>
      <c r="H32" s="83">
        <f t="shared" si="5"/>
        <v>539.55000000000018</v>
      </c>
      <c r="I32" s="83">
        <f t="shared" si="6"/>
        <v>1065.8599999999999</v>
      </c>
    </row>
    <row r="33" spans="7:9" x14ac:dyDescent="0.45">
      <c r="G33" t="str">
        <f t="shared" si="4"/>
        <v>Nov</v>
      </c>
      <c r="H33" s="83">
        <f t="shared" si="5"/>
        <v>1174.8</v>
      </c>
      <c r="I33" s="83">
        <f t="shared" si="6"/>
        <v>45</v>
      </c>
    </row>
    <row r="34" spans="7:9" x14ac:dyDescent="0.45">
      <c r="G34" t="str">
        <f t="shared" si="4"/>
        <v>Dec</v>
      </c>
      <c r="H34" s="83">
        <f t="shared" si="5"/>
        <v>1064.3599999999999</v>
      </c>
      <c r="I34" s="83">
        <f t="shared" si="6"/>
        <v>42</v>
      </c>
    </row>
  </sheetData>
  <mergeCells count="7">
    <mergeCell ref="T1:V1"/>
    <mergeCell ref="P1:R1"/>
    <mergeCell ref="A1:B1"/>
    <mergeCell ref="D1:E1"/>
    <mergeCell ref="G1:H1"/>
    <mergeCell ref="J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DAB6-C56D-49E4-927D-7F8252D6187D}">
  <dimension ref="A1:T707"/>
  <sheetViews>
    <sheetView zoomScale="95" zoomScaleNormal="100" workbookViewId="0">
      <pane ySplit="10" topLeftCell="A12" activePane="bottomLeft" state="frozen"/>
      <selection pane="bottomLeft" activeCell="C39" sqref="C39:C463"/>
    </sheetView>
  </sheetViews>
  <sheetFormatPr defaultRowHeight="14.25" x14ac:dyDescent="0.45"/>
  <cols>
    <col min="1" max="1" width="12" customWidth="1"/>
    <col min="2" max="2" width="16.6640625" style="1" customWidth="1"/>
    <col min="3" max="3" width="50.86328125" customWidth="1"/>
    <col min="4" max="4" width="24.86328125" customWidth="1"/>
    <col min="5" max="5" width="17.86328125" style="2" customWidth="1"/>
    <col min="6" max="6" width="17.796875" style="2" customWidth="1"/>
    <col min="7" max="7" width="19.1328125" style="2" customWidth="1"/>
    <col min="8" max="8" width="11.1328125" bestFit="1" customWidth="1"/>
    <col min="9" max="9" width="19.86328125" customWidth="1"/>
    <col min="10" max="10" width="12.19921875" bestFit="1" customWidth="1"/>
    <col min="11" max="11" width="14.46484375" bestFit="1" customWidth="1"/>
    <col min="12" max="12" width="4.6640625" customWidth="1"/>
    <col min="13" max="13" width="11.1328125" bestFit="1" customWidth="1"/>
    <col min="14" max="14" width="3.86328125" customWidth="1"/>
    <col min="17" max="17" width="18.19921875" bestFit="1" customWidth="1"/>
    <col min="18" max="18" width="17.1328125" style="2" customWidth="1"/>
    <col min="19" max="19" width="10" bestFit="1" customWidth="1"/>
    <col min="20" max="20" width="25.53125" style="2" customWidth="1"/>
  </cols>
  <sheetData>
    <row r="1" spans="1:20" ht="14.65" thickBot="1" x14ac:dyDescent="0.5">
      <c r="A1" s="3"/>
      <c r="B1" s="3"/>
      <c r="C1" s="4"/>
      <c r="D1" s="3"/>
      <c r="E1" s="3"/>
      <c r="F1" t="s">
        <v>20</v>
      </c>
      <c r="G1" t="s">
        <v>21</v>
      </c>
    </row>
    <row r="2" spans="1:20" x14ac:dyDescent="0.45">
      <c r="A2" s="3"/>
      <c r="B2" s="14">
        <v>1</v>
      </c>
      <c r="C2" s="19" t="s">
        <v>10</v>
      </c>
      <c r="D2" s="17" t="s">
        <v>11</v>
      </c>
      <c r="E2" s="3"/>
      <c r="F2" s="39" t="s">
        <v>22</v>
      </c>
      <c r="G2" s="40">
        <f>(SUMIFS(Budget3[[#All],[Income]],Budget3[[#All],[Category]],B3))-(SUMIFS(Budget3[[#All],[Credit]],Budget3[[#All],[Category]],F4))</f>
        <v>26656.2</v>
      </c>
    </row>
    <row r="3" spans="1:20" ht="14.65" thickBot="1" x14ac:dyDescent="0.5">
      <c r="A3" s="3"/>
      <c r="B3" s="18" t="s">
        <v>4</v>
      </c>
      <c r="C3" s="34">
        <f>SUMIFS(Budget3[[#All],[Income]],Budget3[[#All],[Month]],B2,Budget3[[#All],[Category]],B3)</f>
        <v>2471.81</v>
      </c>
      <c r="D3" s="36">
        <v>1500</v>
      </c>
      <c r="E3" s="42">
        <f>(C3-SUM(C4:C7))/C3</f>
        <v>0.4746198130115179</v>
      </c>
      <c r="F3" t="s">
        <v>23</v>
      </c>
      <c r="G3" s="6">
        <f>SUMIFS(Budget3[[#All],[Credit]],Budget3[[#All],[Month]],B2,Budget3[[#All],[Category]],B5)+(SUMIFS(Budget3[[#All],[Credit]],Budget3[[#All],[Month]],B2,D10:D707,B4)+(SUMIFS(Budget3[[#All],[Credit]],Budget3[[#All],[Month]],B2,D10:D707,B7))+SUMIFS(Budget3[[#All],[Credit]],Budget3[[#All],[Category]],B6,Budget3[[#All],[Month]],B2))</f>
        <v>1258.6399999999999</v>
      </c>
    </row>
    <row r="4" spans="1:20" ht="15" thickTop="1" thickBot="1" x14ac:dyDescent="0.5">
      <c r="A4" s="3"/>
      <c r="B4" s="15" t="s">
        <v>16</v>
      </c>
      <c r="C4" s="34">
        <f>SUMIFS(Budget3[[#All],[Credit]],A10:A707,B2,Budget3[[#All],[Category]],B4)</f>
        <v>198.09999999999997</v>
      </c>
      <c r="D4" s="37">
        <v>150</v>
      </c>
      <c r="E4" s="41">
        <f>SUM(C4:C7)/C3</f>
        <v>0.5253801869884821</v>
      </c>
      <c r="F4" t="s">
        <v>9</v>
      </c>
      <c r="G4" s="5">
        <f>Table5[[#This Row],[COMPLETE TOTAL]]+SUMIFS(Budget3[[#All],[Credit]],Budget3[[#All],[Category]],F4)+SUMIFS(Budget3[[#All],[Credit]],Budget3[[#All],[Category]],F8)</f>
        <v>10102.859999999999</v>
      </c>
      <c r="J4" s="74" t="s">
        <v>272</v>
      </c>
      <c r="Q4" s="49" t="s">
        <v>131</v>
      </c>
    </row>
    <row r="5" spans="1:20" ht="15" thickTop="1" thickBot="1" x14ac:dyDescent="0.5">
      <c r="A5" s="3"/>
      <c r="B5" s="15" t="s">
        <v>39</v>
      </c>
      <c r="C5" s="34">
        <f>SUMIFS(Budget3[[#All],[Credit]],Budget3[[#All],[Month]],B2,Budget3[[#All],[Category]],B5)</f>
        <v>109.58000000000001</v>
      </c>
      <c r="D5" s="37">
        <v>150</v>
      </c>
      <c r="E5" s="3"/>
      <c r="F5" t="s">
        <v>31</v>
      </c>
      <c r="G5" s="9">
        <f>SUMIFS(Budget3[[#All],[Credit]],Budget3[[#All],[Month]],B2,Budget3[[#All],[Category]],Table57[[#This Row],[BAL]])</f>
        <v>1316.02</v>
      </c>
      <c r="J5" s="74">
        <f>SUMIFS(Budget3[[#All],[Credit]],Budget3[[#All],[Description]], "*Pokemon*")</f>
        <v>605.35000000000014</v>
      </c>
      <c r="Q5" s="48" t="s">
        <v>105</v>
      </c>
    </row>
    <row r="6" spans="1:20" ht="14.65" thickTop="1" x14ac:dyDescent="0.45">
      <c r="A6" s="3"/>
      <c r="B6" s="15" t="s">
        <v>130</v>
      </c>
      <c r="C6" s="34">
        <f>SUMIFS(Budget3[[#All],[Credit]],Budget3[[#All],[Month]],B2,Budget3[[#All],[Category]],B6)+ABS(SUMIFS(Budget3[[#All],[Income]],Budget3[[#All],[Month]],B2,Budget3[[#All],[Description]],Q5))+ABS(SUMIFS(Budget3[[#All],[Income]],Budget3[[#All],[Month]],B2,Budget3[[#All],[Description]],Q6))+ABS(SUMIFS(Budget3[[#All],[Income]],Budget3[[#All],[Month]],B2,Budget3[[#All],[Description]],Q7))</f>
        <v>753.15</v>
      </c>
      <c r="D6" s="37">
        <v>200</v>
      </c>
      <c r="E6" s="3"/>
      <c r="F6" t="s">
        <v>130</v>
      </c>
      <c r="G6" s="5">
        <f>SUMIFS(Budget3[[#All],[Credit]],Budget3[[#All],[Month]],B2,Budget3[[#All],[Category]],Table57[[#This Row],[BAL]])+ABS(SUMIFS(Budget3[[#All],[Income]],Budget3[[#All],[Month]],B2,Budget3[[#All],[Description]],Q5))+ABS(SUMIFS(Budget3[[#All],[Income]],Budget3[[#All],[Month]],B2,Budget3[[#All],[Description]],Q6))</f>
        <v>753.15</v>
      </c>
      <c r="Q6" s="21" t="s">
        <v>106</v>
      </c>
    </row>
    <row r="7" spans="1:20" ht="14.65" thickBot="1" x14ac:dyDescent="0.5">
      <c r="A7" s="3"/>
      <c r="B7" s="16" t="s">
        <v>13</v>
      </c>
      <c r="C7" s="35">
        <f>SUMIFS(Budget3[[#All],[Credit]],Budget3[[#All],[Month]],B2,Budget3[[#All],[Category]],B7)</f>
        <v>237.81</v>
      </c>
      <c r="D7" s="38">
        <v>200</v>
      </c>
      <c r="E7" s="3"/>
      <c r="F7" t="s">
        <v>33</v>
      </c>
      <c r="G7" s="12">
        <f>(SUMIFS(Budget3[[#All],[Income]],Budget3[[#All],[Category]],B3))-(SUMIFS(Budget3[[#All],[Credit]],Budget3[[#All],[Category]],F4))-(SUMIFS(Budget3[[#All],[Credit]],Budget3[[#All],[Category]],F5))+(SUMIFS(Budget3[[#All],[Income]],Budget3[[#All],[Category]],G8))</f>
        <v>1443.4499999999989</v>
      </c>
      <c r="Q7" s="48" t="s">
        <v>150</v>
      </c>
    </row>
    <row r="8" spans="1:20" x14ac:dyDescent="0.45">
      <c r="A8" s="3"/>
      <c r="B8" s="3"/>
      <c r="C8" s="3"/>
      <c r="D8" s="3"/>
      <c r="E8" s="3"/>
      <c r="F8" t="s">
        <v>35</v>
      </c>
      <c r="G8" t="s">
        <v>100</v>
      </c>
      <c r="Q8" s="21" t="s">
        <v>100</v>
      </c>
    </row>
    <row r="10" spans="1:20" x14ac:dyDescent="0.45">
      <c r="A10" t="s">
        <v>0</v>
      </c>
      <c r="B10" s="1" t="s">
        <v>1</v>
      </c>
      <c r="C10" t="s">
        <v>2</v>
      </c>
      <c r="D10" t="s">
        <v>3</v>
      </c>
      <c r="E10" s="2" t="s">
        <v>4</v>
      </c>
      <c r="F10" s="2" t="s">
        <v>330</v>
      </c>
      <c r="G10" s="2" t="s">
        <v>116</v>
      </c>
      <c r="H10" t="s">
        <v>340</v>
      </c>
      <c r="I10" t="s">
        <v>341</v>
      </c>
    </row>
    <row r="11" spans="1:20" x14ac:dyDescent="0.45">
      <c r="A11">
        <f>MONTH(Budget3[[#This Row],[Date]])</f>
        <v>1</v>
      </c>
      <c r="B11" s="1">
        <v>45658</v>
      </c>
      <c r="C11" t="s">
        <v>115</v>
      </c>
      <c r="D11" s="13" t="s">
        <v>4</v>
      </c>
      <c r="E11" s="33">
        <v>955.55</v>
      </c>
      <c r="G11" s="2" t="e">
        <f>SUM(G10+Budget3[[#This Row],[Income]]-Budget3[[#This Row],[Credit]])</f>
        <v>#VALUE!</v>
      </c>
      <c r="H11" s="2" t="str">
        <f>TEXT(Budget3[[#This Row],[Date]], "mmm")</f>
        <v>Jan</v>
      </c>
      <c r="I11" s="2" t="str">
        <f>IF(ISNUMBER(SEARCH("income", Budget3[[#This Row],[Category]])), "Income", "")</f>
        <v>Income</v>
      </c>
    </row>
    <row r="12" spans="1:20" x14ac:dyDescent="0.45">
      <c r="A12">
        <f>MONTH(Budget3[[#This Row],[Date]])</f>
        <v>1</v>
      </c>
      <c r="B12" s="1">
        <v>45659</v>
      </c>
      <c r="C12" t="s">
        <v>349</v>
      </c>
      <c r="D12" t="s">
        <v>29</v>
      </c>
      <c r="F12" s="50">
        <v>406.49</v>
      </c>
      <c r="G12" s="2">
        <v>353.33</v>
      </c>
      <c r="H12" s="2" t="str">
        <f>TEXT(Budget3[[#This Row],[Date]], "mmm")</f>
        <v>Jan</v>
      </c>
      <c r="I12" s="2" t="s">
        <v>29</v>
      </c>
    </row>
    <row r="13" spans="1:20" x14ac:dyDescent="0.45">
      <c r="A13">
        <f>MONTH(Budget3[[#This Row],[Date]])</f>
        <v>1</v>
      </c>
      <c r="B13" s="1">
        <v>45666</v>
      </c>
      <c r="C13" t="s">
        <v>134</v>
      </c>
      <c r="D13" t="s">
        <v>130</v>
      </c>
      <c r="F13" s="2">
        <v>594.62</v>
      </c>
      <c r="G13" s="2">
        <f>SUM(G12+Budget3[[#This Row],[Income]]-Budget3[[#This Row],[Credit]])</f>
        <v>-241.29000000000002</v>
      </c>
      <c r="H13" s="2" t="str">
        <f>TEXT(Budget3[[#This Row],[Date]], "mmm")</f>
        <v>Jan</v>
      </c>
      <c r="I13" s="2" t="s">
        <v>342</v>
      </c>
    </row>
    <row r="14" spans="1:20" x14ac:dyDescent="0.45">
      <c r="A14">
        <f>MONTH(Budget3[[#This Row],[Date]])</f>
        <v>1</v>
      </c>
      <c r="B14" s="1">
        <v>45666</v>
      </c>
      <c r="C14" t="s">
        <v>17</v>
      </c>
      <c r="D14" t="s">
        <v>4</v>
      </c>
      <c r="E14" s="33">
        <v>750.8</v>
      </c>
      <c r="G14" s="2">
        <f>SUM(G13+Budget3[[#This Row],[Income]]-Budget3[[#This Row],[Credit]])</f>
        <v>509.50999999999993</v>
      </c>
      <c r="H14" s="2" t="str">
        <f>TEXT(Budget3[[#This Row],[Date]], "mmm")</f>
        <v>Jan</v>
      </c>
      <c r="I14" s="2" t="str">
        <f>IF(ISNUMBER(SEARCH("income", Budget3[[#This Row],[Category]])), "Income", "")</f>
        <v>Income</v>
      </c>
      <c r="R14"/>
      <c r="T14"/>
    </row>
    <row r="15" spans="1:20" x14ac:dyDescent="0.45">
      <c r="A15">
        <f>MONTH(Budget3[[#This Row],[Date]])</f>
        <v>1</v>
      </c>
      <c r="B15" s="1">
        <v>45662</v>
      </c>
      <c r="C15" t="s">
        <v>98</v>
      </c>
      <c r="D15" t="s">
        <v>100</v>
      </c>
      <c r="E15" s="6">
        <v>-22</v>
      </c>
      <c r="G15" s="2">
        <f>SUM(G14+Budget3[[#This Row],[Income]]-Budget3[[#This Row],[Credit]])</f>
        <v>487.50999999999993</v>
      </c>
      <c r="H15" s="2" t="str">
        <f>TEXT(Budget3[[#This Row],[Date]], "mmm")</f>
        <v>Jan</v>
      </c>
      <c r="I15" s="2" t="s">
        <v>100</v>
      </c>
    </row>
    <row r="16" spans="1:20" x14ac:dyDescent="0.45">
      <c r="A16">
        <f>MONTH(Budget3[[#This Row],[Date]])</f>
        <v>1</v>
      </c>
      <c r="B16" s="1">
        <v>45662</v>
      </c>
      <c r="C16" t="s">
        <v>36</v>
      </c>
      <c r="D16" t="s">
        <v>39</v>
      </c>
      <c r="F16" s="2">
        <v>20.73</v>
      </c>
      <c r="G16" s="2">
        <f>SUM(G15+Budget3[[#This Row],[Income]]-Budget3[[#This Row],[Credit]])</f>
        <v>466.77999999999992</v>
      </c>
      <c r="H16" s="2" t="str">
        <f>TEXT(Budget3[[#This Row],[Date]], "mmm")</f>
        <v>Jan</v>
      </c>
      <c r="I16" s="2" t="s">
        <v>339</v>
      </c>
    </row>
    <row r="17" spans="1:9" x14ac:dyDescent="0.45">
      <c r="A17">
        <f>MONTH(Budget3[[#This Row],[Date]])</f>
        <v>1</v>
      </c>
      <c r="B17" s="1">
        <v>45662</v>
      </c>
      <c r="C17" t="s">
        <v>109</v>
      </c>
      <c r="D17" t="s">
        <v>39</v>
      </c>
      <c r="F17" s="2">
        <v>45</v>
      </c>
      <c r="G17" s="2">
        <f>SUM(G16+Budget3[[#This Row],[Income]]-Budget3[[#This Row],[Credit]])</f>
        <v>421.77999999999992</v>
      </c>
      <c r="H17" s="2" t="str">
        <f>TEXT(Budget3[[#This Row],[Date]], "mmm")</f>
        <v>Jan</v>
      </c>
      <c r="I17" s="2" t="s">
        <v>339</v>
      </c>
    </row>
    <row r="18" spans="1:9" x14ac:dyDescent="0.45">
      <c r="A18">
        <f>MONTH(Budget3[[#This Row],[Date]])</f>
        <v>1</v>
      </c>
      <c r="B18" s="1">
        <v>45664</v>
      </c>
      <c r="C18" t="s">
        <v>76</v>
      </c>
      <c r="D18" t="s">
        <v>39</v>
      </c>
      <c r="F18" s="2">
        <v>13.56</v>
      </c>
      <c r="G18" s="2">
        <f>SUM(G17+Budget3[[#This Row],[Income]]-Budget3[[#This Row],[Credit]])</f>
        <v>408.21999999999991</v>
      </c>
      <c r="H18" s="2" t="str">
        <f>TEXT(Budget3[[#This Row],[Date]], "mmm")</f>
        <v>Jan</v>
      </c>
      <c r="I18" s="2" t="s">
        <v>339</v>
      </c>
    </row>
    <row r="19" spans="1:9" x14ac:dyDescent="0.45">
      <c r="A19">
        <f>MONTH(Budget3[[#This Row],[Date]])</f>
        <v>1</v>
      </c>
      <c r="B19" s="1">
        <v>45666</v>
      </c>
      <c r="C19" t="s">
        <v>133</v>
      </c>
      <c r="D19" t="s">
        <v>130</v>
      </c>
      <c r="F19" s="2">
        <v>86.89</v>
      </c>
      <c r="G19" s="2">
        <f>SUM(G18+Budget3[[#This Row],[Income]]-Budget3[[#This Row],[Credit]])</f>
        <v>321.32999999999993</v>
      </c>
      <c r="H19" s="2" t="str">
        <f>TEXT(Budget3[[#This Row],[Date]], "mmm")</f>
        <v>Jan</v>
      </c>
      <c r="I19" s="2" t="s">
        <v>342</v>
      </c>
    </row>
    <row r="20" spans="1:9" x14ac:dyDescent="0.45">
      <c r="A20">
        <f>MONTH(Budget3[[#This Row],[Date]])</f>
        <v>1</v>
      </c>
      <c r="B20" s="1">
        <v>45670</v>
      </c>
      <c r="C20" t="s">
        <v>111</v>
      </c>
      <c r="D20" t="s">
        <v>100</v>
      </c>
      <c r="E20" s="6">
        <v>-15</v>
      </c>
      <c r="G20" s="2">
        <f>SUM(G19+Budget3[[#This Row],[Income]]-Budget3[[#This Row],[Credit]])</f>
        <v>306.32999999999993</v>
      </c>
      <c r="H20" s="2" t="str">
        <f>TEXT(Budget3[[#This Row],[Date]], "mmm")</f>
        <v>Jan</v>
      </c>
      <c r="I20" s="2" t="s">
        <v>100</v>
      </c>
    </row>
    <row r="21" spans="1:9" x14ac:dyDescent="0.45">
      <c r="A21">
        <f>MONTH(Budget3[[#This Row],[Date]])</f>
        <v>1</v>
      </c>
      <c r="B21" s="1">
        <v>45663</v>
      </c>
      <c r="C21" t="s">
        <v>18</v>
      </c>
      <c r="D21" t="s">
        <v>16</v>
      </c>
      <c r="F21" s="2">
        <v>46.07</v>
      </c>
      <c r="G21" s="2">
        <f>SUM(G20+Budget3[[#This Row],[Income]]-Budget3[[#This Row],[Credit]])</f>
        <v>260.25999999999993</v>
      </c>
      <c r="H21" s="2" t="str">
        <f>TEXT(Budget3[[#This Row],[Date]], "mmm")</f>
        <v>Jan</v>
      </c>
      <c r="I21" s="2" t="s">
        <v>16</v>
      </c>
    </row>
    <row r="22" spans="1:9" x14ac:dyDescent="0.45">
      <c r="A22">
        <f>MONTH(Budget3[[#This Row],[Date]])</f>
        <v>1</v>
      </c>
      <c r="B22" s="1">
        <v>45668</v>
      </c>
      <c r="C22" t="s">
        <v>12</v>
      </c>
      <c r="D22" t="s">
        <v>13</v>
      </c>
      <c r="F22" s="2">
        <v>16.59</v>
      </c>
      <c r="G22" s="2">
        <f>SUM(G21+Budget3[[#This Row],[Income]]-Budget3[[#This Row],[Credit]])</f>
        <v>243.66999999999993</v>
      </c>
      <c r="H22" s="2" t="str">
        <f>TEXT(Budget3[[#This Row],[Date]], "mmm")</f>
        <v>Jan</v>
      </c>
      <c r="I22" s="2" t="s">
        <v>13</v>
      </c>
    </row>
    <row r="23" spans="1:9" x14ac:dyDescent="0.45">
      <c r="A23">
        <f>MONTH(Budget3[[#This Row],[Date]])</f>
        <v>1</v>
      </c>
      <c r="B23" s="1">
        <v>45669</v>
      </c>
      <c r="C23" t="s">
        <v>25</v>
      </c>
      <c r="D23" t="s">
        <v>13</v>
      </c>
      <c r="F23" s="2">
        <v>76.069999999999993</v>
      </c>
      <c r="G23" s="2">
        <f>SUM(G22+Budget3[[#This Row],[Income]]-Budget3[[#This Row],[Credit]])</f>
        <v>167.59999999999994</v>
      </c>
      <c r="H23" s="2" t="str">
        <f>TEXT(Budget3[[#This Row],[Date]], "mmm")</f>
        <v>Jan</v>
      </c>
      <c r="I23" s="2" t="s">
        <v>13</v>
      </c>
    </row>
    <row r="24" spans="1:9" x14ac:dyDescent="0.45">
      <c r="A24">
        <f>MONTH(Budget3[[#This Row],[Date]])</f>
        <v>1</v>
      </c>
      <c r="B24" s="1">
        <v>45669</v>
      </c>
      <c r="C24" t="s">
        <v>112</v>
      </c>
      <c r="D24" t="s">
        <v>130</v>
      </c>
      <c r="F24" s="2">
        <v>10</v>
      </c>
      <c r="G24" s="2">
        <f>SUM(G23+Budget3[[#This Row],[Income]]-Budget3[[#This Row],[Credit]])</f>
        <v>157.59999999999994</v>
      </c>
      <c r="H24" s="2" t="str">
        <f>TEXT(Budget3[[#This Row],[Date]], "mmm")</f>
        <v>Jan</v>
      </c>
      <c r="I24" s="2" t="s">
        <v>343</v>
      </c>
    </row>
    <row r="25" spans="1:9" x14ac:dyDescent="0.45">
      <c r="A25">
        <f>MONTH(Budget3[[#This Row],[Date]])</f>
        <v>1</v>
      </c>
      <c r="B25" s="1">
        <v>45671</v>
      </c>
      <c r="C25" t="s">
        <v>92</v>
      </c>
      <c r="D25" t="s">
        <v>130</v>
      </c>
      <c r="F25" s="45">
        <v>21.64</v>
      </c>
      <c r="G25" s="2">
        <f>SUM(G24+Budget3[[#This Row],[Income]]-Budget3[[#This Row],[Credit]])</f>
        <v>135.95999999999992</v>
      </c>
      <c r="H25" s="2" t="str">
        <f>TEXT(Budget3[[#This Row],[Date]], "mmm")</f>
        <v>Jan</v>
      </c>
      <c r="I25" s="2" t="s">
        <v>344</v>
      </c>
    </row>
    <row r="26" spans="1:9" x14ac:dyDescent="0.45">
      <c r="A26">
        <f>MONTH(Budget3[[#This Row],[Date]])</f>
        <v>1</v>
      </c>
      <c r="B26" s="1">
        <v>45672</v>
      </c>
      <c r="C26" t="s">
        <v>79</v>
      </c>
      <c r="D26" t="s">
        <v>13</v>
      </c>
      <c r="F26" s="2">
        <v>32.369999999999997</v>
      </c>
      <c r="G26" s="2">
        <f>SUM(G25+Budget3[[#This Row],[Income]]-Budget3[[#This Row],[Credit]])</f>
        <v>103.58999999999992</v>
      </c>
      <c r="H26" s="2" t="str">
        <f>TEXT(Budget3[[#This Row],[Date]], "mmm")</f>
        <v>Jan</v>
      </c>
      <c r="I26" s="2" t="s">
        <v>13</v>
      </c>
    </row>
    <row r="27" spans="1:9" x14ac:dyDescent="0.45">
      <c r="A27">
        <f>MONTH(Budget3[[#This Row],[Date]])</f>
        <v>1</v>
      </c>
      <c r="B27" s="1">
        <v>45672</v>
      </c>
      <c r="C27" t="s">
        <v>113</v>
      </c>
      <c r="D27" t="s">
        <v>39</v>
      </c>
      <c r="F27" s="2">
        <v>30.29</v>
      </c>
      <c r="G27" s="2">
        <f>SUM(G26+Budget3[[#This Row],[Income]]-Budget3[[#This Row],[Credit]])</f>
        <v>73.299999999999926</v>
      </c>
      <c r="H27" s="2" t="str">
        <f>TEXT(Budget3[[#This Row],[Date]], "mmm")</f>
        <v>Jan</v>
      </c>
      <c r="I27" s="2" t="s">
        <v>339</v>
      </c>
    </row>
    <row r="28" spans="1:9" x14ac:dyDescent="0.45">
      <c r="A28">
        <f>MONTH(Budget3[[#This Row],[Date]])</f>
        <v>1</v>
      </c>
      <c r="B28" s="1">
        <v>45672</v>
      </c>
      <c r="C28" t="s">
        <v>349</v>
      </c>
      <c r="D28" t="s">
        <v>29</v>
      </c>
      <c r="F28" s="50">
        <v>909.53</v>
      </c>
      <c r="G28" s="2">
        <f>SUM(G27+Budget3[[#This Row],[Income]]-Budget3[[#This Row],[Credit]])</f>
        <v>-836.23</v>
      </c>
      <c r="H28" s="2" t="str">
        <f>TEXT(Budget3[[#This Row],[Date]], "mmm")</f>
        <v>Jan</v>
      </c>
      <c r="I28" s="2" t="s">
        <v>29</v>
      </c>
    </row>
    <row r="29" spans="1:9" x14ac:dyDescent="0.45">
      <c r="A29">
        <f>MONTH(Budget3[[#This Row],[Date]])</f>
        <v>1</v>
      </c>
      <c r="B29" s="1">
        <v>45673</v>
      </c>
      <c r="C29" t="s">
        <v>18</v>
      </c>
      <c r="D29" t="s">
        <v>16</v>
      </c>
      <c r="F29">
        <v>41.72</v>
      </c>
      <c r="G29" s="2">
        <f>SUM(G28+Budget3[[#This Row],[Income]]-Budget3[[#This Row],[Credit]])</f>
        <v>-877.95</v>
      </c>
      <c r="H29" s="2" t="str">
        <f>TEXT(Budget3[[#This Row],[Date]], "mmm")</f>
        <v>Jan</v>
      </c>
      <c r="I29" s="2" t="s">
        <v>16</v>
      </c>
    </row>
    <row r="30" spans="1:9" x14ac:dyDescent="0.45">
      <c r="A30">
        <f>MONTH(Budget3[[#This Row],[Date]])</f>
        <v>1</v>
      </c>
      <c r="B30" s="1">
        <v>45674</v>
      </c>
      <c r="C30" t="s">
        <v>78</v>
      </c>
      <c r="D30" t="s">
        <v>13</v>
      </c>
      <c r="F30" s="2">
        <v>16.45</v>
      </c>
      <c r="G30" s="2">
        <f>SUM(G29+Budget3[[#This Row],[Income]]-Budget3[[#This Row],[Credit]])</f>
        <v>-894.40000000000009</v>
      </c>
      <c r="H30" s="2" t="str">
        <f>TEXT(Budget3[[#This Row],[Date]], "mmm")</f>
        <v>Jan</v>
      </c>
      <c r="I30" s="2" t="s">
        <v>13</v>
      </c>
    </row>
    <row r="31" spans="1:9" x14ac:dyDescent="0.45">
      <c r="A31">
        <f>MONTH(Budget3[[#This Row],[Date]])</f>
        <v>1</v>
      </c>
      <c r="B31" s="1">
        <v>45682</v>
      </c>
      <c r="C31" t="s">
        <v>117</v>
      </c>
      <c r="D31" t="s">
        <v>13</v>
      </c>
      <c r="F31" s="2">
        <v>96.33</v>
      </c>
      <c r="G31" s="2">
        <f>SUM(G30+Budget3[[#This Row],[Income]]-Budget3[[#This Row],[Credit]])</f>
        <v>-990.73000000000013</v>
      </c>
      <c r="H31" s="2" t="str">
        <f>TEXT(Budget3[[#This Row],[Date]], "mmm")</f>
        <v>Jan</v>
      </c>
      <c r="I31" s="2" t="s">
        <v>13</v>
      </c>
    </row>
    <row r="32" spans="1:9" x14ac:dyDescent="0.45">
      <c r="A32">
        <f>MONTH(Budget3[[#This Row],[Date]])</f>
        <v>1</v>
      </c>
      <c r="B32" s="1">
        <v>45682</v>
      </c>
      <c r="C32" t="s">
        <v>105</v>
      </c>
      <c r="D32" t="s">
        <v>100</v>
      </c>
      <c r="E32" s="6">
        <v>-40</v>
      </c>
      <c r="G32" s="2">
        <f>SUM(G31+Budget3[[#This Row],[Income]]-Budget3[[#This Row],[Credit]])</f>
        <v>-1030.73</v>
      </c>
      <c r="H32" s="2" t="str">
        <f>TEXT(Budget3[[#This Row],[Date]], "mmm")</f>
        <v>Jan</v>
      </c>
      <c r="I32" s="2" t="s">
        <v>100</v>
      </c>
    </row>
    <row r="33" spans="1:17" x14ac:dyDescent="0.45">
      <c r="A33">
        <f>MONTH(Budget3[[#This Row],[Date]])</f>
        <v>1</v>
      </c>
      <c r="B33" s="1">
        <v>45680</v>
      </c>
      <c r="C33" t="s">
        <v>17</v>
      </c>
      <c r="D33" t="s">
        <v>4</v>
      </c>
      <c r="E33" s="33">
        <v>765.46</v>
      </c>
      <c r="G33" s="2">
        <f>SUM(G32+Budget3[[#This Row],[Income]]-Budget3[[#This Row],[Credit]])</f>
        <v>-265.27</v>
      </c>
      <c r="H33" s="2" t="str">
        <f>TEXT(Budget3[[#This Row],[Date]], "mmm")</f>
        <v>Jan</v>
      </c>
      <c r="I33" s="2" t="str">
        <f>IF(ISNUMBER(SEARCH("income", Budget3[[#This Row],[Category]])), "Income", "")</f>
        <v>Income</v>
      </c>
    </row>
    <row r="34" spans="1:17" x14ac:dyDescent="0.45">
      <c r="A34">
        <f>MONTH(Budget3[[#This Row],[Date]])</f>
        <v>1</v>
      </c>
      <c r="B34" s="1">
        <v>45686</v>
      </c>
      <c r="C34" t="s">
        <v>8</v>
      </c>
      <c r="D34" t="s">
        <v>9</v>
      </c>
      <c r="F34" s="11">
        <v>500</v>
      </c>
      <c r="G34" s="2">
        <f>SUM(G33+Budget3[[#This Row],[Income]]-Budget3[[#This Row],[Credit]])</f>
        <v>-765.27</v>
      </c>
      <c r="H34" s="2" t="str">
        <f>TEXT(Budget3[[#This Row],[Date]], "mmm")</f>
        <v>Jan</v>
      </c>
      <c r="I34" s="2" t="s">
        <v>9</v>
      </c>
    </row>
    <row r="35" spans="1:17" x14ac:dyDescent="0.45">
      <c r="A35">
        <f>MONTH(Budget3[[#This Row],[Date]])</f>
        <v>1</v>
      </c>
      <c r="B35" s="1">
        <v>45682</v>
      </c>
      <c r="C35" t="s">
        <v>18</v>
      </c>
      <c r="D35" t="s">
        <v>16</v>
      </c>
      <c r="E35" s="33"/>
      <c r="F35" s="2">
        <v>40.130000000000003</v>
      </c>
      <c r="G35" s="2">
        <f>SUM(G34+Budget3[[#This Row],[Income]]-Budget3[[#This Row],[Credit]])</f>
        <v>-805.4</v>
      </c>
      <c r="H35" s="2" t="str">
        <f>TEXT(Budget3[[#This Row],[Date]], "mmm")</f>
        <v>Jan</v>
      </c>
      <c r="I35" s="2" t="s">
        <v>16</v>
      </c>
    </row>
    <row r="36" spans="1:17" x14ac:dyDescent="0.45">
      <c r="A36">
        <f>MONTH(Budget3[[#This Row],[Date]])</f>
        <v>1</v>
      </c>
      <c r="B36" s="1">
        <v>45682</v>
      </c>
      <c r="C36" t="s">
        <v>18</v>
      </c>
      <c r="D36" t="s">
        <v>16</v>
      </c>
      <c r="F36" s="2">
        <v>23.29</v>
      </c>
      <c r="G36" s="2">
        <f>SUM(G35+Budget3[[#This Row],[Income]]-Budget3[[#This Row],[Credit]])</f>
        <v>-828.68999999999994</v>
      </c>
      <c r="H36" s="2" t="str">
        <f>TEXT(Budget3[[#This Row],[Date]], "mmm")</f>
        <v>Jan</v>
      </c>
      <c r="I36" s="2" t="s">
        <v>16</v>
      </c>
    </row>
    <row r="37" spans="1:17" x14ac:dyDescent="0.45">
      <c r="A37">
        <f>MONTH(Budget3[[#This Row],[Date]])</f>
        <v>1</v>
      </c>
      <c r="B37" s="1">
        <v>45686</v>
      </c>
      <c r="C37" t="s">
        <v>18</v>
      </c>
      <c r="D37" t="s">
        <v>16</v>
      </c>
      <c r="F37" s="2">
        <v>46.89</v>
      </c>
      <c r="G37" s="2">
        <f>SUM(G36+Budget3[[#This Row],[Income]]-Budget3[[#This Row],[Credit]])</f>
        <v>-875.57999999999993</v>
      </c>
      <c r="H37" s="2" t="str">
        <f>TEXT(Budget3[[#This Row],[Date]], "mmm")</f>
        <v>Jan</v>
      </c>
      <c r="I37" s="2" t="s">
        <v>16</v>
      </c>
    </row>
    <row r="38" spans="1:17" ht="14.65" thickBot="1" x14ac:dyDescent="0.5">
      <c r="A38" s="27">
        <f>MONTH(Budget3[[#This Row],[Date]])</f>
        <v>1</v>
      </c>
      <c r="B38" s="28">
        <v>45688</v>
      </c>
      <c r="C38" s="27" t="s">
        <v>32</v>
      </c>
      <c r="D38" s="27" t="s">
        <v>35</v>
      </c>
      <c r="E38" s="29"/>
      <c r="F38" s="30">
        <v>25.39</v>
      </c>
      <c r="G38" s="29">
        <f>SUM(G37+Budget3[[#This Row],[Income]]-Budget3[[#This Row],[Credit]])</f>
        <v>-900.96999999999991</v>
      </c>
      <c r="H38" s="2" t="str">
        <f>TEXT(Budget3[[#This Row],[Date]], "mmm")</f>
        <v>Jan</v>
      </c>
      <c r="I38" s="2" t="s">
        <v>9</v>
      </c>
    </row>
    <row r="39" spans="1:17" ht="14.65" thickTop="1" x14ac:dyDescent="0.45">
      <c r="A39">
        <f>MONTH(Budget3[[#This Row],[Date]])</f>
        <v>2</v>
      </c>
      <c r="B39" s="1">
        <v>45692</v>
      </c>
      <c r="C39" t="s">
        <v>349</v>
      </c>
      <c r="D39" t="s">
        <v>29</v>
      </c>
      <c r="F39" s="50">
        <v>349.11</v>
      </c>
      <c r="G39" s="2">
        <f>SUM(G37+Budget3[[#This Row],[Income]]-Budget3[[#This Row],[Credit]])</f>
        <v>-1224.69</v>
      </c>
      <c r="H39" s="2" t="str">
        <f>TEXT(Budget3[[#This Row],[Date]], "mmm")</f>
        <v>Feb</v>
      </c>
      <c r="I39" s="2" t="s">
        <v>29</v>
      </c>
    </row>
    <row r="40" spans="1:17" x14ac:dyDescent="0.45">
      <c r="A40">
        <f>MONTH(Budget3[[#This Row],[Date]])</f>
        <v>2</v>
      </c>
      <c r="B40" s="1">
        <v>45691</v>
      </c>
      <c r="C40" t="s">
        <v>118</v>
      </c>
      <c r="D40" t="s">
        <v>39</v>
      </c>
      <c r="F40" s="2">
        <v>5.4</v>
      </c>
      <c r="G40" s="2">
        <f>SUM(G39+Budget3[[#This Row],[Income]]-Budget3[[#This Row],[Credit]])</f>
        <v>-1230.0900000000001</v>
      </c>
      <c r="H40" s="2" t="str">
        <f>TEXT(Budget3[[#This Row],[Date]], "mmm")</f>
        <v>Feb</v>
      </c>
      <c r="I40" s="2" t="s">
        <v>339</v>
      </c>
    </row>
    <row r="41" spans="1:17" x14ac:dyDescent="0.45">
      <c r="A41">
        <f>MONTH(Budget3[[#This Row],[Date]])</f>
        <v>2</v>
      </c>
      <c r="B41" s="1">
        <v>45691</v>
      </c>
      <c r="C41" t="s">
        <v>18</v>
      </c>
      <c r="D41" t="s">
        <v>16</v>
      </c>
      <c r="F41" s="2">
        <v>36.93</v>
      </c>
      <c r="G41" s="2">
        <f>SUM(G40+Budget3[[#This Row],[Income]]-Budget3[[#This Row],[Credit]])</f>
        <v>-1267.0200000000002</v>
      </c>
      <c r="H41" s="2" t="str">
        <f>TEXT(Budget3[[#This Row],[Date]], "mmm")</f>
        <v>Feb</v>
      </c>
      <c r="I41" s="2" t="s">
        <v>16</v>
      </c>
    </row>
    <row r="42" spans="1:17" x14ac:dyDescent="0.45">
      <c r="A42">
        <f>MONTH(Budget3[[#This Row],[Date]])</f>
        <v>2</v>
      </c>
      <c r="B42" s="1">
        <v>45693</v>
      </c>
      <c r="C42" t="s">
        <v>118</v>
      </c>
      <c r="D42" t="s">
        <v>39</v>
      </c>
      <c r="F42" s="2">
        <v>9.18</v>
      </c>
      <c r="G42" s="2">
        <f>SUM(G41+Budget3[[#This Row],[Income]]-Budget3[[#This Row],[Credit]])</f>
        <v>-1276.2000000000003</v>
      </c>
      <c r="H42" s="2" t="str">
        <f>TEXT(Budget3[[#This Row],[Date]], "mmm")</f>
        <v>Feb</v>
      </c>
      <c r="I42" s="2" t="s">
        <v>339</v>
      </c>
    </row>
    <row r="43" spans="1:17" x14ac:dyDescent="0.45">
      <c r="A43">
        <f>MONTH(Budget3[[#This Row],[Date]])</f>
        <v>2</v>
      </c>
      <c r="B43" s="21">
        <v>45693</v>
      </c>
      <c r="C43" s="20" t="s">
        <v>118</v>
      </c>
      <c r="D43" t="s">
        <v>39</v>
      </c>
      <c r="F43" s="2">
        <v>9.15</v>
      </c>
      <c r="G43" s="2">
        <f>SUM(G42+Budget3[[#This Row],[Income]]-Budget3[[#This Row],[Credit]])</f>
        <v>-1285.3500000000004</v>
      </c>
      <c r="H43" s="2" t="str">
        <f>TEXT(Budget3[[#This Row],[Date]], "mmm")</f>
        <v>Feb</v>
      </c>
      <c r="I43" s="2" t="s">
        <v>339</v>
      </c>
    </row>
    <row r="44" spans="1:17" x14ac:dyDescent="0.45">
      <c r="A44">
        <f>MONTH(Budget3[[#This Row],[Date]])</f>
        <v>2</v>
      </c>
      <c r="B44" s="1">
        <v>45693</v>
      </c>
      <c r="C44" t="s">
        <v>119</v>
      </c>
      <c r="D44" t="s">
        <v>13</v>
      </c>
      <c r="F44" s="2">
        <v>9.24</v>
      </c>
      <c r="G44" s="2">
        <f>SUM(G43+Budget3[[#This Row],[Income]]-Budget3[[#This Row],[Credit]])</f>
        <v>-1294.5900000000004</v>
      </c>
      <c r="H44" s="2" t="str">
        <f>TEXT(Budget3[[#This Row],[Date]], "mmm")</f>
        <v>Feb</v>
      </c>
      <c r="I44" s="2" t="s">
        <v>13</v>
      </c>
      <c r="Q44" t="s">
        <v>138</v>
      </c>
    </row>
    <row r="45" spans="1:17" x14ac:dyDescent="0.45">
      <c r="A45">
        <f>MONTH(Budget3[[#This Row],[Date]])</f>
        <v>2</v>
      </c>
      <c r="B45" s="1">
        <v>45694</v>
      </c>
      <c r="C45" t="s">
        <v>45</v>
      </c>
      <c r="D45" t="s">
        <v>13</v>
      </c>
      <c r="F45" s="2">
        <v>3.78</v>
      </c>
      <c r="G45" s="2">
        <f>SUM(G44+Budget3[[#This Row],[Income]]-Budget3[[#This Row],[Credit]])</f>
        <v>-1298.3700000000003</v>
      </c>
      <c r="H45" s="2" t="str">
        <f>TEXT(Budget3[[#This Row],[Date]], "mmm")</f>
        <v>Feb</v>
      </c>
      <c r="I45" s="2" t="s">
        <v>13</v>
      </c>
      <c r="Q45">
        <v>25.39</v>
      </c>
    </row>
    <row r="46" spans="1:17" x14ac:dyDescent="0.45">
      <c r="A46">
        <f>MONTH(Budget3[[#This Row],[Date]])</f>
        <v>2</v>
      </c>
      <c r="B46" s="1">
        <v>45694</v>
      </c>
      <c r="C46" t="s">
        <v>120</v>
      </c>
      <c r="D46" t="s">
        <v>13</v>
      </c>
      <c r="F46" s="2">
        <v>1.07</v>
      </c>
      <c r="G46" s="2">
        <f>SUM(G45+Budget3[[#This Row],[Income]]-Budget3[[#This Row],[Credit]])</f>
        <v>-1299.4400000000003</v>
      </c>
      <c r="H46" s="2" t="str">
        <f>TEXT(Budget3[[#This Row],[Date]], "mmm")</f>
        <v>Feb</v>
      </c>
      <c r="I46" s="2" t="s">
        <v>13</v>
      </c>
      <c r="Q46" s="5"/>
    </row>
    <row r="47" spans="1:17" x14ac:dyDescent="0.45">
      <c r="A47">
        <f>MONTH(Budget3[[#This Row],[Date]])</f>
        <v>2</v>
      </c>
      <c r="B47" s="1">
        <v>45697</v>
      </c>
      <c r="C47" t="s">
        <v>121</v>
      </c>
      <c r="D47" t="s">
        <v>39</v>
      </c>
      <c r="F47" s="2">
        <v>27.93</v>
      </c>
      <c r="G47" s="2">
        <f>SUM(G46+Budget3[[#This Row],[Income]]-Budget3[[#This Row],[Credit]])</f>
        <v>-1327.3700000000003</v>
      </c>
      <c r="H47" s="2" t="str">
        <f>TEXT(Budget3[[#This Row],[Date]], "mmm")</f>
        <v>Feb</v>
      </c>
      <c r="I47" s="2" t="s">
        <v>339</v>
      </c>
    </row>
    <row r="48" spans="1:17" x14ac:dyDescent="0.45">
      <c r="A48">
        <f>MONTH(Budget3[[#This Row],[Date]])</f>
        <v>2</v>
      </c>
      <c r="B48" s="1">
        <v>45697</v>
      </c>
      <c r="C48" t="s">
        <v>122</v>
      </c>
      <c r="D48" t="s">
        <v>16</v>
      </c>
      <c r="F48" s="2">
        <v>43.26</v>
      </c>
      <c r="G48" s="2">
        <f>SUM(G47+Budget3[[#This Row],[Income]]-Budget3[[#This Row],[Credit]])</f>
        <v>-1370.6300000000003</v>
      </c>
      <c r="H48" s="2" t="str">
        <f>TEXT(Budget3[[#This Row],[Date]], "mmm")</f>
        <v>Feb</v>
      </c>
      <c r="I48" s="2" t="s">
        <v>16</v>
      </c>
    </row>
    <row r="49" spans="1:9" x14ac:dyDescent="0.45">
      <c r="A49">
        <f>MONTH(Budget3[[#This Row],[Date]])</f>
        <v>2</v>
      </c>
      <c r="B49" s="1">
        <v>45697</v>
      </c>
      <c r="C49" t="s">
        <v>123</v>
      </c>
      <c r="D49" t="s">
        <v>13</v>
      </c>
      <c r="F49" s="2">
        <v>86.59</v>
      </c>
      <c r="G49" s="2">
        <f>SUM(G48+Budget3[[#This Row],[Income]]-Budget3[[#This Row],[Credit]])</f>
        <v>-1457.2200000000003</v>
      </c>
      <c r="H49" s="2" t="str">
        <f>TEXT(Budget3[[#This Row],[Date]], "mmm")</f>
        <v>Feb</v>
      </c>
      <c r="I49" s="2" t="s">
        <v>13</v>
      </c>
    </row>
    <row r="50" spans="1:9" x14ac:dyDescent="0.45">
      <c r="A50">
        <f>MONTH(Budget3[[#This Row],[Date]])</f>
        <v>2</v>
      </c>
      <c r="B50" s="1">
        <v>45698</v>
      </c>
      <c r="C50" s="1" t="s">
        <v>12</v>
      </c>
      <c r="D50" s="1" t="s">
        <v>13</v>
      </c>
      <c r="F50" s="2">
        <v>18.38</v>
      </c>
      <c r="G50" s="2">
        <f>SUM(G49+Budget3[[#This Row],[Income]]-Budget3[[#This Row],[Credit]])</f>
        <v>-1475.6000000000004</v>
      </c>
      <c r="H50" s="2" t="str">
        <f>TEXT(Budget3[[#This Row],[Date]], "mmm")</f>
        <v>Feb</v>
      </c>
      <c r="I50" s="2" t="s">
        <v>13</v>
      </c>
    </row>
    <row r="51" spans="1:9" x14ac:dyDescent="0.45">
      <c r="A51">
        <f>MONTH(Budget3[[#This Row],[Date]])</f>
        <v>2</v>
      </c>
      <c r="B51" s="1">
        <v>45698</v>
      </c>
      <c r="C51" s="1" t="s">
        <v>45</v>
      </c>
      <c r="D51" s="1" t="s">
        <v>13</v>
      </c>
      <c r="F51" s="2">
        <v>5.15</v>
      </c>
      <c r="G51" s="2">
        <f>SUM(G50+Budget3[[#This Row],[Income]]-Budget3[[#This Row],[Credit]])</f>
        <v>-1480.7500000000005</v>
      </c>
      <c r="H51" s="2" t="str">
        <f>TEXT(Budget3[[#This Row],[Date]], "mmm")</f>
        <v>Feb</v>
      </c>
      <c r="I51" s="2" t="s">
        <v>13</v>
      </c>
    </row>
    <row r="52" spans="1:9" x14ac:dyDescent="0.45">
      <c r="A52">
        <f>MONTH(Budget3[[#This Row],[Date]])</f>
        <v>2</v>
      </c>
      <c r="B52" s="1">
        <v>45700</v>
      </c>
      <c r="C52" s="1" t="s">
        <v>124</v>
      </c>
      <c r="D52" s="1" t="s">
        <v>13</v>
      </c>
      <c r="F52" s="2">
        <v>43.21</v>
      </c>
      <c r="G52" s="2">
        <f>SUM(G51+Budget3[[#This Row],[Income]]-Budget3[[#This Row],[Credit]])</f>
        <v>-1523.9600000000005</v>
      </c>
      <c r="H52" s="2" t="str">
        <f>TEXT(Budget3[[#This Row],[Date]], "mmm")</f>
        <v>Feb</v>
      </c>
      <c r="I52" s="2" t="s">
        <v>13</v>
      </c>
    </row>
    <row r="53" spans="1:9" x14ac:dyDescent="0.45">
      <c r="A53">
        <f>MONTH(Budget3[[#This Row],[Date]])</f>
        <v>2</v>
      </c>
      <c r="B53" s="1">
        <v>45700</v>
      </c>
      <c r="C53" s="1" t="s">
        <v>78</v>
      </c>
      <c r="D53" s="1" t="s">
        <v>13</v>
      </c>
      <c r="F53" s="2">
        <v>27.9</v>
      </c>
      <c r="G53" s="2">
        <f>SUM(G52+Budget3[[#This Row],[Income]]-Budget3[[#This Row],[Credit]])</f>
        <v>-1551.8600000000006</v>
      </c>
      <c r="H53" s="2" t="str">
        <f>TEXT(Budget3[[#This Row],[Date]], "mmm")</f>
        <v>Feb</v>
      </c>
      <c r="I53" s="2" t="s">
        <v>13</v>
      </c>
    </row>
    <row r="54" spans="1:9" x14ac:dyDescent="0.45">
      <c r="A54">
        <f>MONTH(Budget3[[#This Row],[Date]])</f>
        <v>2</v>
      </c>
      <c r="B54" s="1">
        <v>45700</v>
      </c>
      <c r="C54" s="1" t="s">
        <v>125</v>
      </c>
      <c r="D54" s="1" t="s">
        <v>13</v>
      </c>
      <c r="F54" s="2">
        <v>7.85</v>
      </c>
      <c r="G54" s="2">
        <f>SUM(G53+Budget3[[#This Row],[Income]]-Budget3[[#This Row],[Credit]])</f>
        <v>-1559.7100000000005</v>
      </c>
      <c r="H54" s="2" t="str">
        <f>TEXT(Budget3[[#This Row],[Date]], "mmm")</f>
        <v>Feb</v>
      </c>
      <c r="I54" s="2" t="s">
        <v>13</v>
      </c>
    </row>
    <row r="55" spans="1:9" x14ac:dyDescent="0.45">
      <c r="A55">
        <f>MONTH(Budget3[[#This Row],[Date]])</f>
        <v>2</v>
      </c>
      <c r="B55" s="1">
        <v>45701</v>
      </c>
      <c r="C55" s="1" t="s">
        <v>126</v>
      </c>
      <c r="D55" s="1" t="s">
        <v>39</v>
      </c>
      <c r="F55" s="2">
        <v>24.64</v>
      </c>
      <c r="G55" s="2">
        <f>SUM(G54+Budget3[[#This Row],[Income]]-Budget3[[#This Row],[Credit]])</f>
        <v>-1584.3500000000006</v>
      </c>
      <c r="H55" s="2" t="str">
        <f>TEXT(Budget3[[#This Row],[Date]], "mmm")</f>
        <v>Feb</v>
      </c>
      <c r="I55" s="2" t="s">
        <v>339</v>
      </c>
    </row>
    <row r="56" spans="1:9" x14ac:dyDescent="0.45">
      <c r="A56">
        <f>MONTH(Budget3[[#This Row],[Date]])</f>
        <v>2</v>
      </c>
      <c r="B56" s="1">
        <v>45702</v>
      </c>
      <c r="C56" s="1" t="s">
        <v>127</v>
      </c>
      <c r="D56" s="1" t="s">
        <v>130</v>
      </c>
      <c r="F56" s="2">
        <v>272.04000000000002</v>
      </c>
      <c r="G56" s="2">
        <f>SUM(G55+Budget3[[#This Row],[Income]]-Budget3[[#This Row],[Credit]])</f>
        <v>-1856.3900000000006</v>
      </c>
      <c r="H56" s="2" t="str">
        <f>TEXT(Budget3[[#This Row],[Date]], "mmm")</f>
        <v>Feb</v>
      </c>
      <c r="I56" s="2" t="s">
        <v>342</v>
      </c>
    </row>
    <row r="57" spans="1:9" x14ac:dyDescent="0.45">
      <c r="A57">
        <f>MONTH(Budget3[[#This Row],[Date]])</f>
        <v>2</v>
      </c>
      <c r="B57" s="1">
        <v>45703</v>
      </c>
      <c r="C57" s="1" t="s">
        <v>92</v>
      </c>
      <c r="D57" s="1" t="s">
        <v>130</v>
      </c>
      <c r="F57" s="2">
        <v>21.64</v>
      </c>
      <c r="G57" s="2">
        <f>SUM(G56+Budget3[[#This Row],[Income]]-Budget3[[#This Row],[Credit]])</f>
        <v>-1878.0300000000007</v>
      </c>
      <c r="H57" s="2" t="str">
        <f>TEXT(Budget3[[#This Row],[Date]], "mmm")</f>
        <v>Feb</v>
      </c>
      <c r="I57" s="2" t="s">
        <v>344</v>
      </c>
    </row>
    <row r="58" spans="1:9" x14ac:dyDescent="0.45">
      <c r="A58">
        <f>MONTH(Budget3[[#This Row],[Date]])</f>
        <v>2</v>
      </c>
      <c r="B58" s="1">
        <v>45694</v>
      </c>
      <c r="C58" s="1" t="s">
        <v>17</v>
      </c>
      <c r="D58" s="47" t="s">
        <v>4</v>
      </c>
      <c r="E58" s="33">
        <v>761.99</v>
      </c>
      <c r="G58" s="2">
        <f>SUM(G57+Budget3[[#This Row],[Income]]-Budget3[[#This Row],[Credit]])</f>
        <v>-1116.0400000000006</v>
      </c>
      <c r="H58" s="2" t="str">
        <f>TEXT(Budget3[[#This Row],[Date]], "mmm")</f>
        <v>Feb</v>
      </c>
      <c r="I58" s="2" t="str">
        <f>IF(ISNUMBER(SEARCH("income", Budget3[[#This Row],[Category]])), "Income", "")</f>
        <v>Income</v>
      </c>
    </row>
    <row r="59" spans="1:9" x14ac:dyDescent="0.45">
      <c r="A59">
        <f>MONTH(Budget3[[#This Row],[Date]])</f>
        <v>2</v>
      </c>
      <c r="B59" s="1">
        <v>45697</v>
      </c>
      <c r="C59" s="1" t="s">
        <v>105</v>
      </c>
      <c r="D59" s="1" t="s">
        <v>100</v>
      </c>
      <c r="E59" s="6">
        <v>-38</v>
      </c>
      <c r="G59" s="2">
        <f>SUM(G58+Budget3[[#This Row],[Income]]-Budget3[[#This Row],[Credit]])</f>
        <v>-1154.0400000000006</v>
      </c>
      <c r="H59" s="2" t="str">
        <f>TEXT(Budget3[[#This Row],[Date]], "mmm")</f>
        <v>Feb</v>
      </c>
      <c r="I59" s="2" t="s">
        <v>100</v>
      </c>
    </row>
    <row r="60" spans="1:9" x14ac:dyDescent="0.45">
      <c r="A60">
        <f>MONTH(Budget3[[#This Row],[Date]])</f>
        <v>2</v>
      </c>
      <c r="B60" s="1">
        <v>45697</v>
      </c>
      <c r="C60" s="1" t="s">
        <v>128</v>
      </c>
      <c r="D60" s="1" t="s">
        <v>100</v>
      </c>
      <c r="E60" s="6">
        <v>-155</v>
      </c>
      <c r="G60" s="2">
        <f>SUM(G59+Budget3[[#This Row],[Income]]-Budget3[[#This Row],[Credit]])</f>
        <v>-1309.0400000000006</v>
      </c>
      <c r="H60" s="2" t="str">
        <f>TEXT(Budget3[[#This Row],[Date]], "mmm")</f>
        <v>Feb</v>
      </c>
      <c r="I60" s="2" t="s">
        <v>100</v>
      </c>
    </row>
    <row r="61" spans="1:9" x14ac:dyDescent="0.45">
      <c r="A61">
        <f>MONTH(Budget3[[#This Row],[Date]])</f>
        <v>2</v>
      </c>
      <c r="B61" s="1">
        <v>45698</v>
      </c>
      <c r="C61" s="1" t="s">
        <v>129</v>
      </c>
      <c r="D61" s="1" t="s">
        <v>100</v>
      </c>
      <c r="E61" s="6">
        <v>-6</v>
      </c>
      <c r="G61" s="2">
        <f>SUM(G60+Budget3[[#This Row],[Income]]-Budget3[[#This Row],[Credit]])</f>
        <v>-1315.0400000000006</v>
      </c>
      <c r="H61" s="2" t="str">
        <f>TEXT(Budget3[[#This Row],[Date]], "mmm")</f>
        <v>Feb</v>
      </c>
      <c r="I61" s="2" t="s">
        <v>100</v>
      </c>
    </row>
    <row r="62" spans="1:9" x14ac:dyDescent="0.45">
      <c r="A62">
        <f>MONTH(Budget3[[#This Row],[Date]])</f>
        <v>2</v>
      </c>
      <c r="B62" s="1">
        <v>45705</v>
      </c>
      <c r="C62" t="s">
        <v>349</v>
      </c>
      <c r="D62" t="s">
        <v>29</v>
      </c>
      <c r="F62" s="50">
        <v>653.34</v>
      </c>
      <c r="G62" s="2">
        <f>SUM(G61+Budget3[[#This Row],[Income]]-Budget3[[#This Row],[Credit]])</f>
        <v>-1968.3800000000006</v>
      </c>
      <c r="H62" s="2" t="str">
        <f>TEXT(Budget3[[#This Row],[Date]], "mmm")</f>
        <v>Feb</v>
      </c>
      <c r="I62" s="2" t="s">
        <v>29</v>
      </c>
    </row>
    <row r="63" spans="1:9" x14ac:dyDescent="0.45">
      <c r="A63">
        <f>MONTH(Budget3[[#This Row],[Date]])</f>
        <v>2</v>
      </c>
      <c r="B63" s="1">
        <v>45705</v>
      </c>
      <c r="C63" s="1" t="s">
        <v>18</v>
      </c>
      <c r="D63" s="1" t="s">
        <v>16</v>
      </c>
      <c r="F63" s="2">
        <v>47.42</v>
      </c>
      <c r="G63" s="2">
        <f>SUM(G62+Budget3[[#This Row],[Income]]-Budget3[[#This Row],[Credit]])</f>
        <v>-2015.8000000000006</v>
      </c>
      <c r="H63" s="2" t="str">
        <f>TEXT(Budget3[[#This Row],[Date]], "mmm")</f>
        <v>Feb</v>
      </c>
      <c r="I63" s="2" t="s">
        <v>16</v>
      </c>
    </row>
    <row r="64" spans="1:9" x14ac:dyDescent="0.45">
      <c r="A64">
        <f>MONTH(Budget3[[#This Row],[Date]])</f>
        <v>2</v>
      </c>
      <c r="B64" s="1">
        <v>45707</v>
      </c>
      <c r="C64" s="1" t="s">
        <v>135</v>
      </c>
      <c r="D64" s="1" t="s">
        <v>13</v>
      </c>
      <c r="F64" s="5">
        <v>39.840000000000003</v>
      </c>
      <c r="G64" s="2">
        <f>SUM(G63+Budget3[[#This Row],[Income]]-Budget3[[#This Row],[Credit]])</f>
        <v>-2055.6400000000008</v>
      </c>
      <c r="H64" s="2" t="str">
        <f>TEXT(Budget3[[#This Row],[Date]], "mmm")</f>
        <v>Feb</v>
      </c>
      <c r="I64" s="2" t="s">
        <v>13</v>
      </c>
    </row>
    <row r="65" spans="1:9" x14ac:dyDescent="0.45">
      <c r="A65">
        <f>MONTH(Budget3[[#This Row],[Date]])</f>
        <v>2</v>
      </c>
      <c r="B65" s="1">
        <v>45708</v>
      </c>
      <c r="C65" s="1" t="s">
        <v>17</v>
      </c>
      <c r="D65" s="1" t="s">
        <v>4</v>
      </c>
      <c r="E65" s="2">
        <v>695.46</v>
      </c>
      <c r="G65" s="2">
        <f>SUM(G64+Budget3[[#This Row],[Income]]-Budget3[[#This Row],[Credit]])</f>
        <v>-1360.1800000000007</v>
      </c>
      <c r="H65" s="2" t="str">
        <f>TEXT(Budget3[[#This Row],[Date]], "mmm")</f>
        <v>Feb</v>
      </c>
      <c r="I65" s="2" t="str">
        <f>IF(ISNUMBER(SEARCH("income", Budget3[[#This Row],[Category]])), "Income", "")</f>
        <v>Income</v>
      </c>
    </row>
    <row r="66" spans="1:9" x14ac:dyDescent="0.45">
      <c r="A66">
        <f>MONTH(Budget3[[#This Row],[Date]])</f>
        <v>2</v>
      </c>
      <c r="B66" s="1">
        <v>45711</v>
      </c>
      <c r="C66" s="1" t="s">
        <v>106</v>
      </c>
      <c r="D66" s="1" t="s">
        <v>100</v>
      </c>
      <c r="E66" s="2">
        <v>-63</v>
      </c>
      <c r="G66" s="2">
        <f>SUM(G65+Budget3[[#This Row],[Income]]-Budget3[[#This Row],[Credit]])</f>
        <v>-1423.1800000000007</v>
      </c>
      <c r="H66" s="2" t="str">
        <f>TEXT(Budget3[[#This Row],[Date]], "mmm")</f>
        <v>Feb</v>
      </c>
      <c r="I66" s="2" t="s">
        <v>100</v>
      </c>
    </row>
    <row r="67" spans="1:9" x14ac:dyDescent="0.45">
      <c r="A67">
        <f>MONTH(Budget3[[#This Row],[Date]])</f>
        <v>2</v>
      </c>
      <c r="B67" s="1">
        <v>45707</v>
      </c>
      <c r="C67" s="1" t="s">
        <v>132</v>
      </c>
      <c r="D67" s="1" t="s">
        <v>39</v>
      </c>
      <c r="F67" s="2">
        <v>32.26</v>
      </c>
      <c r="G67" s="2">
        <f>SUM(G66+Budget3[[#This Row],[Income]]-Budget3[[#This Row],[Credit]])</f>
        <v>-1455.4400000000007</v>
      </c>
      <c r="H67" s="2" t="str">
        <f>TEXT(Budget3[[#This Row],[Date]], "mmm")</f>
        <v>Feb</v>
      </c>
      <c r="I67" s="2" t="s">
        <v>339</v>
      </c>
    </row>
    <row r="68" spans="1:9" x14ac:dyDescent="0.45">
      <c r="A68">
        <f>MONTH(Budget3[[#This Row],[Date]])</f>
        <v>2</v>
      </c>
      <c r="B68" s="1">
        <v>45708</v>
      </c>
      <c r="C68" s="1" t="s">
        <v>136</v>
      </c>
      <c r="D68" s="1" t="s">
        <v>39</v>
      </c>
      <c r="F68" s="2">
        <v>8.5</v>
      </c>
      <c r="G68" s="2">
        <f>SUM(G67+Budget3[[#This Row],[Income]]-Budget3[[#This Row],[Credit]])</f>
        <v>-1463.9400000000007</v>
      </c>
      <c r="H68" s="2" t="str">
        <f>TEXT(Budget3[[#This Row],[Date]], "mmm")</f>
        <v>Feb</v>
      </c>
      <c r="I68" s="2" t="s">
        <v>339</v>
      </c>
    </row>
    <row r="69" spans="1:9" x14ac:dyDescent="0.45">
      <c r="A69">
        <f>MONTH(Budget3[[#This Row],[Date]])</f>
        <v>2</v>
      </c>
      <c r="B69" s="1">
        <v>45711</v>
      </c>
      <c r="C69" s="1" t="s">
        <v>137</v>
      </c>
      <c r="D69" s="1" t="s">
        <v>39</v>
      </c>
      <c r="F69" s="2">
        <v>51.73</v>
      </c>
      <c r="G69" s="2">
        <f>SUM(G68+Budget3[[#This Row],[Income]]-Budget3[[#This Row],[Credit]])</f>
        <v>-1515.6700000000008</v>
      </c>
      <c r="H69" s="2" t="str">
        <f>TEXT(Budget3[[#This Row],[Date]], "mmm")</f>
        <v>Feb</v>
      </c>
      <c r="I69" s="2" t="s">
        <v>339</v>
      </c>
    </row>
    <row r="70" spans="1:9" x14ac:dyDescent="0.45">
      <c r="A70">
        <f>MONTH(Budget3[[#This Row],[Date]])</f>
        <v>2</v>
      </c>
      <c r="B70" s="1">
        <v>45711</v>
      </c>
      <c r="C70" s="1" t="s">
        <v>85</v>
      </c>
      <c r="D70" s="1" t="s">
        <v>13</v>
      </c>
      <c r="F70" s="2">
        <v>19.47</v>
      </c>
      <c r="G70" s="2">
        <f>SUM(G69+Budget3[[#This Row],[Income]]-Budget3[[#This Row],[Credit]])</f>
        <v>-1535.1400000000008</v>
      </c>
      <c r="H70" s="2" t="str">
        <f>TEXT(Budget3[[#This Row],[Date]], "mmm")</f>
        <v>Feb</v>
      </c>
      <c r="I70" s="2" t="s">
        <v>13</v>
      </c>
    </row>
    <row r="71" spans="1:9" x14ac:dyDescent="0.45">
      <c r="A71">
        <f>MONTH(Budget3[[#This Row],[Date]])</f>
        <v>2</v>
      </c>
      <c r="B71" s="1">
        <v>45711</v>
      </c>
      <c r="C71" s="1" t="s">
        <v>79</v>
      </c>
      <c r="D71" s="1" t="s">
        <v>13</v>
      </c>
      <c r="F71" s="2">
        <v>59.33</v>
      </c>
      <c r="G71" s="2">
        <f>SUM(G70+Budget3[[#This Row],[Income]]-Budget3[[#This Row],[Credit]])</f>
        <v>-1594.4700000000007</v>
      </c>
      <c r="H71" s="2" t="str">
        <f>TEXT(Budget3[[#This Row],[Date]], "mmm")</f>
        <v>Feb</v>
      </c>
      <c r="I71" s="2" t="s">
        <v>13</v>
      </c>
    </row>
    <row r="72" spans="1:9" x14ac:dyDescent="0.45">
      <c r="A72">
        <f>MONTH(Budget3[[#This Row],[Date]])</f>
        <v>2</v>
      </c>
      <c r="B72" s="1">
        <v>45716</v>
      </c>
      <c r="C72" s="1" t="s">
        <v>139</v>
      </c>
      <c r="D72" s="1" t="s">
        <v>4</v>
      </c>
      <c r="E72" s="2">
        <v>564</v>
      </c>
      <c r="G72" s="2">
        <f>SUM(G71+Budget3[[#This Row],[Income]]-Budget3[[#This Row],[Credit]])</f>
        <v>-1030.4700000000007</v>
      </c>
      <c r="H72" s="2" t="str">
        <f>TEXT(Budget3[[#This Row],[Date]], "mmm")</f>
        <v>Feb</v>
      </c>
      <c r="I72" s="2" t="str">
        <f>IF(ISNUMBER(SEARCH("income", Budget3[[#This Row],[Category]])), "Income", "")</f>
        <v>Income</v>
      </c>
    </row>
    <row r="73" spans="1:9" x14ac:dyDescent="0.45">
      <c r="A73">
        <f>MONTH(Budget3[[#This Row],[Date]])</f>
        <v>2</v>
      </c>
      <c r="B73" s="1">
        <v>45716</v>
      </c>
      <c r="C73" s="1" t="s">
        <v>140</v>
      </c>
      <c r="D73" s="1" t="s">
        <v>9</v>
      </c>
      <c r="F73" s="11">
        <v>164</v>
      </c>
      <c r="G73" s="2">
        <f>SUM(G71+Budget3[[#This Row],[Income]]-Budget3[[#This Row],[Credit]])</f>
        <v>-1758.4700000000007</v>
      </c>
      <c r="H73" s="2" t="str">
        <f>TEXT(Budget3[[#This Row],[Date]], "mmm")</f>
        <v>Feb</v>
      </c>
      <c r="I73" s="2" t="s">
        <v>9</v>
      </c>
    </row>
    <row r="74" spans="1:9" x14ac:dyDescent="0.45">
      <c r="A74">
        <f>MONTH(Budget3[[#This Row],[Date]])</f>
        <v>2</v>
      </c>
      <c r="B74" s="1">
        <v>45716</v>
      </c>
      <c r="C74" s="1" t="s">
        <v>32</v>
      </c>
      <c r="D74" s="1" t="s">
        <v>35</v>
      </c>
      <c r="F74" s="11">
        <v>24.33</v>
      </c>
      <c r="G74" s="2">
        <f>SUM(G71+Budget3[[#This Row],[Income]]-Budget3[[#This Row],[Credit]])</f>
        <v>-1618.8000000000006</v>
      </c>
      <c r="H74" s="2" t="str">
        <f>TEXT(Budget3[[#This Row],[Date]], "mmm")</f>
        <v>Feb</v>
      </c>
      <c r="I74" s="2" t="s">
        <v>9</v>
      </c>
    </row>
    <row r="75" spans="1:9" ht="14.65" thickBot="1" x14ac:dyDescent="0.5">
      <c r="A75" s="27">
        <f>MONTH(Budget3[[#This Row],[Date]])</f>
        <v>2</v>
      </c>
      <c r="B75" s="28">
        <v>45712</v>
      </c>
      <c r="C75" s="28" t="s">
        <v>18</v>
      </c>
      <c r="D75" s="28" t="s">
        <v>16</v>
      </c>
      <c r="E75" s="29"/>
      <c r="F75" s="29">
        <v>39.86</v>
      </c>
      <c r="G75" s="29">
        <f>SUM(G71+Budget3[[#This Row],[Income]]-Budget3[[#This Row],[Credit]])</f>
        <v>-1634.3300000000006</v>
      </c>
      <c r="H75" s="2" t="str">
        <f>TEXT(Budget3[[#This Row],[Date]], "mmm")</f>
        <v>Feb</v>
      </c>
      <c r="I75" s="2" t="s">
        <v>16</v>
      </c>
    </row>
    <row r="76" spans="1:9" ht="14.65" thickTop="1" x14ac:dyDescent="0.45">
      <c r="A76">
        <f>MONTH(Budget3[[#This Row],[Date]])</f>
        <v>3</v>
      </c>
      <c r="B76" s="1">
        <v>45717</v>
      </c>
      <c r="C76" t="s">
        <v>349</v>
      </c>
      <c r="D76" s="1" t="s">
        <v>29</v>
      </c>
      <c r="F76" s="50">
        <v>298.41000000000003</v>
      </c>
      <c r="G76" s="2">
        <f>SUM(G75+Budget3[[#This Row],[Income]]-Budget3[[#This Row],[Credit]])</f>
        <v>-1932.7400000000007</v>
      </c>
      <c r="H76" s="2" t="str">
        <f>TEXT(Budget3[[#This Row],[Date]], "mmm")</f>
        <v>Mar</v>
      </c>
      <c r="I76" s="2" t="s">
        <v>29</v>
      </c>
    </row>
    <row r="77" spans="1:9" x14ac:dyDescent="0.45">
      <c r="A77">
        <f>MONTH(Budget3[[#This Row],[Date]])</f>
        <v>3</v>
      </c>
      <c r="B77" s="1">
        <v>45717</v>
      </c>
      <c r="C77" s="1" t="s">
        <v>141</v>
      </c>
      <c r="D77" s="1" t="s">
        <v>13</v>
      </c>
      <c r="F77" s="2">
        <v>747.76</v>
      </c>
      <c r="G77" s="2">
        <f>SUM(G76+Budget3[[#This Row],[Income]]-Budget3[[#This Row],[Credit]])</f>
        <v>-2680.5000000000009</v>
      </c>
      <c r="H77" s="2" t="str">
        <f>TEXT(Budget3[[#This Row],[Date]], "mmm")</f>
        <v>Mar</v>
      </c>
      <c r="I77" s="2" t="s">
        <v>13</v>
      </c>
    </row>
    <row r="78" spans="1:9" x14ac:dyDescent="0.45">
      <c r="A78">
        <f>MONTH(Budget3[[#This Row],[Date]])</f>
        <v>3</v>
      </c>
      <c r="B78" s="1">
        <v>45719</v>
      </c>
      <c r="C78" s="1" t="s">
        <v>142</v>
      </c>
      <c r="D78" s="1" t="s">
        <v>39</v>
      </c>
      <c r="F78" s="2">
        <v>41.63</v>
      </c>
      <c r="G78" s="2">
        <f>SUM(G77+Budget3[[#This Row],[Income]]-Budget3[[#This Row],[Credit]])</f>
        <v>-2722.130000000001</v>
      </c>
      <c r="H78" s="2" t="str">
        <f>TEXT(Budget3[[#This Row],[Date]], "mmm")</f>
        <v>Mar</v>
      </c>
      <c r="I78" s="2" t="s">
        <v>339</v>
      </c>
    </row>
    <row r="79" spans="1:9" x14ac:dyDescent="0.45">
      <c r="A79">
        <f>MONTH(Budget3[[#This Row],[Date]])</f>
        <v>3</v>
      </c>
      <c r="B79" s="1">
        <v>45721</v>
      </c>
      <c r="C79" s="1" t="s">
        <v>78</v>
      </c>
      <c r="D79" s="1" t="s">
        <v>13</v>
      </c>
      <c r="F79" s="2">
        <v>6.48</v>
      </c>
      <c r="G79" s="2">
        <f>SUM(G78+Budget3[[#This Row],[Income]]-Budget3[[#This Row],[Credit]])</f>
        <v>-2728.610000000001</v>
      </c>
      <c r="H79" s="2" t="str">
        <f>TEXT(Budget3[[#This Row],[Date]], "mmm")</f>
        <v>Mar</v>
      </c>
      <c r="I79" s="2" t="s">
        <v>13</v>
      </c>
    </row>
    <row r="80" spans="1:9" x14ac:dyDescent="0.45">
      <c r="A80">
        <f>MONTH(Budget3[[#This Row],[Date]])</f>
        <v>3</v>
      </c>
      <c r="B80" s="1">
        <v>45721</v>
      </c>
      <c r="C80" s="1" t="s">
        <v>78</v>
      </c>
      <c r="D80" s="1" t="s">
        <v>13</v>
      </c>
      <c r="F80" s="2">
        <v>23.8</v>
      </c>
      <c r="G80" s="2">
        <f>SUM(G79+Budget3[[#This Row],[Income]]-Budget3[[#This Row],[Credit]])</f>
        <v>-2752.4100000000012</v>
      </c>
      <c r="H80" s="2" t="str">
        <f>TEXT(Budget3[[#This Row],[Date]], "mmm")</f>
        <v>Mar</v>
      </c>
      <c r="I80" s="2" t="s">
        <v>13</v>
      </c>
    </row>
    <row r="81" spans="1:9" x14ac:dyDescent="0.45">
      <c r="A81">
        <f>MONTH(Budget3[[#This Row],[Date]])</f>
        <v>3</v>
      </c>
      <c r="B81" s="1">
        <v>45721</v>
      </c>
      <c r="C81" s="1" t="s">
        <v>143</v>
      </c>
      <c r="D81" s="1" t="s">
        <v>130</v>
      </c>
      <c r="F81" s="2">
        <v>58.84</v>
      </c>
      <c r="G81" s="2">
        <f>SUM(G80+Budget3[[#This Row],[Income]]-Budget3[[#This Row],[Credit]])</f>
        <v>-2811.2500000000014</v>
      </c>
      <c r="H81" s="2" t="str">
        <f>TEXT(Budget3[[#This Row],[Date]], "mmm")</f>
        <v>Mar</v>
      </c>
      <c r="I81" s="2" t="s">
        <v>342</v>
      </c>
    </row>
    <row r="82" spans="1:9" x14ac:dyDescent="0.45">
      <c r="A82">
        <f>MONTH(Budget3[[#This Row],[Date]])</f>
        <v>3</v>
      </c>
      <c r="B82" s="1">
        <v>45722</v>
      </c>
      <c r="C82" s="1" t="s">
        <v>17</v>
      </c>
      <c r="D82" s="1" t="s">
        <v>4</v>
      </c>
      <c r="E82" s="2">
        <v>566.35</v>
      </c>
      <c r="G82" s="2">
        <f>SUM(G81+Budget3[[#This Row],[Income]]-Budget3[[#This Row],[Credit]])</f>
        <v>-2244.9000000000015</v>
      </c>
      <c r="H82" s="2" t="str">
        <f>TEXT(Budget3[[#This Row],[Date]], "mmm")</f>
        <v>Mar</v>
      </c>
      <c r="I82" s="2" t="str">
        <f>IF(ISNUMBER(SEARCH("income", Budget3[[#This Row],[Category]])), "Income", "")</f>
        <v>Income</v>
      </c>
    </row>
    <row r="83" spans="1:9" x14ac:dyDescent="0.45">
      <c r="A83">
        <f>MONTH(Budget3[[#This Row],[Date]])</f>
        <v>3</v>
      </c>
      <c r="B83" s="1">
        <v>45727</v>
      </c>
      <c r="C83" s="1" t="s">
        <v>144</v>
      </c>
      <c r="D83" s="1" t="s">
        <v>4</v>
      </c>
      <c r="E83" s="2">
        <v>50</v>
      </c>
      <c r="G83" s="2">
        <f>SUM(G82+Budget3[[#This Row],[Income]]-Budget3[[#This Row],[Credit]])</f>
        <v>-2194.9000000000015</v>
      </c>
      <c r="H83" s="2" t="str">
        <f>TEXT(Budget3[[#This Row],[Date]], "mmm")</f>
        <v>Mar</v>
      </c>
      <c r="I83" s="2" t="s">
        <v>346</v>
      </c>
    </row>
    <row r="84" spans="1:9" x14ac:dyDescent="0.45">
      <c r="A84">
        <f>MONTH(Budget3[[#This Row],[Date]])</f>
        <v>3</v>
      </c>
      <c r="B84" s="1">
        <v>45720</v>
      </c>
      <c r="C84" s="1" t="s">
        <v>18</v>
      </c>
      <c r="D84" s="1" t="s">
        <v>16</v>
      </c>
      <c r="F84" s="2">
        <v>41.91</v>
      </c>
      <c r="G84" s="2">
        <f>SUM(G83+Budget3[[#This Row],[Income]]-Budget3[[#This Row],[Credit]])</f>
        <v>-2236.8100000000013</v>
      </c>
      <c r="H84" s="2" t="str">
        <f>TEXT(Budget3[[#This Row],[Date]], "mmm")</f>
        <v>Mar</v>
      </c>
      <c r="I84" s="2" t="s">
        <v>16</v>
      </c>
    </row>
    <row r="85" spans="1:9" x14ac:dyDescent="0.45">
      <c r="A85">
        <f>MONTH(Budget3[[#This Row],[Date]])</f>
        <v>3</v>
      </c>
      <c r="B85" s="1">
        <v>45733</v>
      </c>
      <c r="C85" t="s">
        <v>349</v>
      </c>
      <c r="D85" s="1" t="s">
        <v>29</v>
      </c>
      <c r="F85" s="50">
        <v>1020.13</v>
      </c>
      <c r="G85" s="2">
        <f>SUM(G84+Budget3[[#This Row],[Income]]-Budget3[[#This Row],[Credit]])</f>
        <v>-3256.9400000000014</v>
      </c>
      <c r="H85" s="2" t="str">
        <f>TEXT(Budget3[[#This Row],[Date]], "mmm")</f>
        <v>Mar</v>
      </c>
      <c r="I85" s="2" t="s">
        <v>29</v>
      </c>
    </row>
    <row r="86" spans="1:9" x14ac:dyDescent="0.45">
      <c r="A86">
        <f>MONTH(Budget3[[#This Row],[Date]])</f>
        <v>3</v>
      </c>
      <c r="B86" s="1">
        <v>45724</v>
      </c>
      <c r="C86" s="1" t="s">
        <v>85</v>
      </c>
      <c r="D86" s="1" t="s">
        <v>13</v>
      </c>
      <c r="F86" s="2">
        <v>18.39</v>
      </c>
      <c r="G86" s="2">
        <f>SUM(G85+Budget3[[#This Row],[Income]]-Budget3[[#This Row],[Credit]])</f>
        <v>-3275.3300000000013</v>
      </c>
      <c r="H86" s="2" t="str">
        <f>TEXT(Budget3[[#This Row],[Date]], "mmm")</f>
        <v>Mar</v>
      </c>
      <c r="I86" s="2" t="s">
        <v>13</v>
      </c>
    </row>
    <row r="87" spans="1:9" x14ac:dyDescent="0.45">
      <c r="A87">
        <f>MONTH(Budget3[[#This Row],[Date]])</f>
        <v>3</v>
      </c>
      <c r="B87" s="1">
        <v>45728</v>
      </c>
      <c r="C87" s="1" t="s">
        <v>18</v>
      </c>
      <c r="D87" s="1" t="s">
        <v>16</v>
      </c>
      <c r="F87" s="2">
        <v>41.04</v>
      </c>
      <c r="G87" s="2">
        <f>SUM(G86+Budget3[[#This Row],[Income]]-Budget3[[#This Row],[Credit]])</f>
        <v>-3316.3700000000013</v>
      </c>
      <c r="H87" s="2" t="str">
        <f>TEXT(Budget3[[#This Row],[Date]], "mmm")</f>
        <v>Mar</v>
      </c>
      <c r="I87" s="2" t="s">
        <v>16</v>
      </c>
    </row>
    <row r="88" spans="1:9" x14ac:dyDescent="0.45">
      <c r="A88">
        <f>MONTH(Budget3[[#This Row],[Date]])</f>
        <v>3</v>
      </c>
      <c r="B88" s="1">
        <v>45731</v>
      </c>
      <c r="C88" s="1" t="s">
        <v>92</v>
      </c>
      <c r="D88" s="1" t="s">
        <v>130</v>
      </c>
      <c r="F88" s="2">
        <v>21.64</v>
      </c>
      <c r="G88" s="2">
        <f>SUM(G87+Budget3[[#This Row],[Income]]-Budget3[[#This Row],[Credit]])</f>
        <v>-3338.0100000000011</v>
      </c>
      <c r="H88" s="2" t="str">
        <f>TEXT(Budget3[[#This Row],[Date]], "mmm")</f>
        <v>Mar</v>
      </c>
      <c r="I88" s="2" t="s">
        <v>344</v>
      </c>
    </row>
    <row r="89" spans="1:9" x14ac:dyDescent="0.45">
      <c r="A89">
        <f>MONTH(Budget3[[#This Row],[Date]])</f>
        <v>3</v>
      </c>
      <c r="B89" s="1">
        <v>45731</v>
      </c>
      <c r="C89" s="1" t="s">
        <v>145</v>
      </c>
      <c r="D89" s="1" t="s">
        <v>39</v>
      </c>
      <c r="F89" s="2">
        <v>18.64</v>
      </c>
      <c r="G89" s="2">
        <f>SUM(G88+Budget3[[#This Row],[Income]]-Budget3[[#This Row],[Credit]])</f>
        <v>-3356.650000000001</v>
      </c>
      <c r="H89" s="2" t="str">
        <f>TEXT(Budget3[[#This Row],[Date]], "mmm")</f>
        <v>Mar</v>
      </c>
      <c r="I89" s="2" t="s">
        <v>339</v>
      </c>
    </row>
    <row r="90" spans="1:9" x14ac:dyDescent="0.45">
      <c r="A90">
        <f>MONTH(Budget3[[#This Row],[Date]])</f>
        <v>3</v>
      </c>
      <c r="B90" s="1">
        <v>45731</v>
      </c>
      <c r="C90" s="1" t="s">
        <v>121</v>
      </c>
      <c r="D90" s="1" t="s">
        <v>39</v>
      </c>
      <c r="F90" s="51">
        <v>23.49</v>
      </c>
      <c r="G90" s="2">
        <f>SUM(G89+Budget3[[#This Row],[Income]]-Budget3[[#This Row],[Credit]])</f>
        <v>-3380.1400000000008</v>
      </c>
      <c r="H90" s="2" t="str">
        <f>TEXT(Budget3[[#This Row],[Date]], "mmm")</f>
        <v>Mar</v>
      </c>
      <c r="I90" s="2" t="s">
        <v>339</v>
      </c>
    </row>
    <row r="91" spans="1:9" x14ac:dyDescent="0.45">
      <c r="A91">
        <f>MONTH(Budget3[[#This Row],[Date]])</f>
        <v>3</v>
      </c>
      <c r="B91" s="1">
        <v>45732</v>
      </c>
      <c r="C91" s="1" t="s">
        <v>146</v>
      </c>
      <c r="D91" s="1" t="s">
        <v>13</v>
      </c>
      <c r="F91" s="2">
        <v>10.81</v>
      </c>
      <c r="G91" s="2">
        <f>SUM(G90+Budget3[[#This Row],[Income]]-Budget3[[#This Row],[Credit]])</f>
        <v>-3390.9500000000007</v>
      </c>
      <c r="H91" s="2" t="str">
        <f>TEXT(Budget3[[#This Row],[Date]], "mmm")</f>
        <v>Mar</v>
      </c>
      <c r="I91" s="2" t="s">
        <v>13</v>
      </c>
    </row>
    <row r="92" spans="1:9" x14ac:dyDescent="0.45">
      <c r="A92">
        <f>MONTH(Budget3[[#This Row],[Date]])</f>
        <v>3</v>
      </c>
      <c r="B92" s="1">
        <v>45737</v>
      </c>
      <c r="C92" s="1" t="s">
        <v>120</v>
      </c>
      <c r="D92" s="1" t="s">
        <v>130</v>
      </c>
      <c r="F92" s="2">
        <v>1.07</v>
      </c>
      <c r="G92" s="2">
        <f>SUM(G91+Budget3[[#This Row],[Income]]-Budget3[[#This Row],[Credit]])</f>
        <v>-3392.0200000000009</v>
      </c>
      <c r="H92" s="2" t="str">
        <f>TEXT(Budget3[[#This Row],[Date]], "mmm")</f>
        <v>Mar</v>
      </c>
      <c r="I92" s="2" t="s">
        <v>344</v>
      </c>
    </row>
    <row r="93" spans="1:9" x14ac:dyDescent="0.45">
      <c r="A93">
        <f>MONTH(Budget3[[#This Row],[Date]])</f>
        <v>3</v>
      </c>
      <c r="B93" s="1">
        <v>45741</v>
      </c>
      <c r="C93" s="1" t="s">
        <v>70</v>
      </c>
      <c r="D93" s="1" t="s">
        <v>13</v>
      </c>
      <c r="F93" s="2">
        <v>67.06</v>
      </c>
      <c r="G93" s="2">
        <f>SUM(G92+Budget3[[#This Row],[Income]]-Budget3[[#This Row],[Credit]])</f>
        <v>-3459.0800000000008</v>
      </c>
      <c r="H93" s="2" t="str">
        <f>TEXT(Budget3[[#This Row],[Date]], "mmm")</f>
        <v>Mar</v>
      </c>
      <c r="I93" s="2" t="s">
        <v>13</v>
      </c>
    </row>
    <row r="94" spans="1:9" x14ac:dyDescent="0.45">
      <c r="A94">
        <f>MONTH(Budget3[[#This Row],[Date]])</f>
        <v>3</v>
      </c>
      <c r="B94" s="1">
        <v>45742</v>
      </c>
      <c r="C94" s="1" t="s">
        <v>147</v>
      </c>
      <c r="D94" s="1" t="s">
        <v>130</v>
      </c>
      <c r="F94" s="2">
        <v>44.95</v>
      </c>
      <c r="G94" s="2">
        <f>SUM(G93+Budget3[[#This Row],[Income]]-Budget3[[#This Row],[Credit]])</f>
        <v>-3504.0300000000007</v>
      </c>
      <c r="H94" s="2" t="str">
        <f>TEXT(Budget3[[#This Row],[Date]], "mmm")</f>
        <v>Mar</v>
      </c>
      <c r="I94" s="2" t="s">
        <v>312</v>
      </c>
    </row>
    <row r="95" spans="1:9" x14ac:dyDescent="0.45">
      <c r="A95">
        <f>MONTH(Budget3[[#This Row],[Date]])</f>
        <v>3</v>
      </c>
      <c r="B95" s="1">
        <v>45743</v>
      </c>
      <c r="C95" s="1" t="s">
        <v>62</v>
      </c>
      <c r="D95" s="1" t="s">
        <v>13</v>
      </c>
      <c r="F95" s="2">
        <v>33.24</v>
      </c>
      <c r="G95" s="2">
        <f>SUM(G94+Budget3[[#This Row],[Income]]-Budget3[[#This Row],[Credit]])</f>
        <v>-3537.2700000000004</v>
      </c>
      <c r="H95" s="2" t="str">
        <f>TEXT(Budget3[[#This Row],[Date]], "mmm")</f>
        <v>Mar</v>
      </c>
      <c r="I95" s="2" t="s">
        <v>13</v>
      </c>
    </row>
    <row r="96" spans="1:9" x14ac:dyDescent="0.45">
      <c r="A96">
        <f>MONTH(Budget3[[#This Row],[Date]])</f>
        <v>3</v>
      </c>
      <c r="B96" s="1">
        <v>45743</v>
      </c>
      <c r="C96" s="1" t="s">
        <v>18</v>
      </c>
      <c r="D96" s="1" t="s">
        <v>16</v>
      </c>
      <c r="F96" s="2">
        <v>46.45</v>
      </c>
      <c r="G96" s="2">
        <f>SUM(G95+Budget3[[#This Row],[Income]]-Budget3[[#This Row],[Credit]])</f>
        <v>-3583.7200000000003</v>
      </c>
      <c r="H96" s="2" t="str">
        <f>TEXT(Budget3[[#This Row],[Date]], "mmm")</f>
        <v>Mar</v>
      </c>
      <c r="I96" s="2" t="s">
        <v>16</v>
      </c>
    </row>
    <row r="97" spans="1:9" x14ac:dyDescent="0.45">
      <c r="A97">
        <f>MONTH(Budget3[[#This Row],[Date]])</f>
        <v>3</v>
      </c>
      <c r="B97" s="1">
        <v>45744</v>
      </c>
      <c r="C97" s="1" t="s">
        <v>12</v>
      </c>
      <c r="D97" s="1" t="s">
        <v>13</v>
      </c>
      <c r="F97" s="2">
        <v>10.7</v>
      </c>
      <c r="G97" s="2">
        <f>SUM(G96+Budget3[[#This Row],[Income]]-Budget3[[#This Row],[Credit]])</f>
        <v>-3594.42</v>
      </c>
      <c r="H97" s="2" t="str">
        <f>TEXT(Budget3[[#This Row],[Date]], "mmm")</f>
        <v>Mar</v>
      </c>
      <c r="I97" s="2" t="s">
        <v>13</v>
      </c>
    </row>
    <row r="98" spans="1:9" x14ac:dyDescent="0.45">
      <c r="A98">
        <f>MONTH(Budget3[[#This Row],[Date]])</f>
        <v>3</v>
      </c>
      <c r="B98" s="1">
        <v>45744</v>
      </c>
      <c r="C98" s="1" t="s">
        <v>148</v>
      </c>
      <c r="D98" s="1" t="s">
        <v>130</v>
      </c>
      <c r="F98" s="2">
        <v>38.880000000000003</v>
      </c>
      <c r="G98" s="2">
        <f>SUM(G97+Budget3[[#This Row],[Income]]-Budget3[[#This Row],[Credit]])</f>
        <v>-3633.3</v>
      </c>
      <c r="H98" s="2" t="str">
        <f>TEXT(Budget3[[#This Row],[Date]], "mmm")</f>
        <v>Mar</v>
      </c>
      <c r="I98" s="2" t="s">
        <v>312</v>
      </c>
    </row>
    <row r="99" spans="1:9" x14ac:dyDescent="0.45">
      <c r="A99">
        <f>MONTH(Budget3[[#This Row],[Date]])</f>
        <v>3</v>
      </c>
      <c r="B99" s="1">
        <v>45744</v>
      </c>
      <c r="C99" s="1" t="s">
        <v>148</v>
      </c>
      <c r="D99" s="1" t="s">
        <v>130</v>
      </c>
      <c r="F99" s="2">
        <v>4.8600000000000003</v>
      </c>
      <c r="G99" s="2">
        <f>SUM(G98+Budget3[[#This Row],[Income]]-Budget3[[#This Row],[Credit]])</f>
        <v>-3638.1600000000003</v>
      </c>
      <c r="H99" s="2" t="str">
        <f>TEXT(Budget3[[#This Row],[Date]], "mmm")</f>
        <v>Mar</v>
      </c>
      <c r="I99" s="2" t="s">
        <v>312</v>
      </c>
    </row>
    <row r="100" spans="1:9" x14ac:dyDescent="0.45">
      <c r="A100">
        <f>MONTH(Budget3[[#This Row],[Date]])</f>
        <v>3</v>
      </c>
      <c r="B100" s="1">
        <v>45744</v>
      </c>
      <c r="C100" s="1" t="s">
        <v>149</v>
      </c>
      <c r="D100" s="1" t="s">
        <v>39</v>
      </c>
      <c r="F100" s="2">
        <v>166.6</v>
      </c>
      <c r="G100" s="2">
        <f>SUM(G99+Budget3[[#This Row],[Income]]-Budget3[[#This Row],[Credit]])</f>
        <v>-3804.76</v>
      </c>
      <c r="H100" s="2" t="str">
        <f>TEXT(Budget3[[#This Row],[Date]], "mmm")</f>
        <v>Mar</v>
      </c>
      <c r="I100" s="2" t="s">
        <v>339</v>
      </c>
    </row>
    <row r="101" spans="1:9" x14ac:dyDescent="0.45">
      <c r="A101">
        <f>MONTH(Budget3[[#This Row],[Date]])</f>
        <v>3</v>
      </c>
      <c r="B101" s="1">
        <v>45744</v>
      </c>
      <c r="C101" s="1" t="s">
        <v>78</v>
      </c>
      <c r="D101" s="1" t="s">
        <v>13</v>
      </c>
      <c r="F101" s="2">
        <v>32.450000000000003</v>
      </c>
      <c r="G101" s="2">
        <f>SUM(G100+Budget3[[#This Row],[Income]]-Budget3[[#This Row],[Credit]])</f>
        <v>-3837.21</v>
      </c>
      <c r="H101" s="2" t="str">
        <f>TEXT(Budget3[[#This Row],[Date]], "mmm")</f>
        <v>Mar</v>
      </c>
      <c r="I101" s="2" t="s">
        <v>13</v>
      </c>
    </row>
    <row r="102" spans="1:9" x14ac:dyDescent="0.45">
      <c r="A102">
        <f>MONTH(Budget3[[#This Row],[Date]])</f>
        <v>3</v>
      </c>
      <c r="B102" s="1">
        <v>45744</v>
      </c>
      <c r="C102" s="1" t="s">
        <v>78</v>
      </c>
      <c r="D102" s="1" t="s">
        <v>13</v>
      </c>
      <c r="F102" s="2">
        <v>54.07</v>
      </c>
      <c r="G102" s="2">
        <f>SUM(G101+Budget3[[#This Row],[Income]]-Budget3[[#This Row],[Credit]])</f>
        <v>-3891.28</v>
      </c>
      <c r="H102" s="2" t="str">
        <f>TEXT(Budget3[[#This Row],[Date]], "mmm")</f>
        <v>Mar</v>
      </c>
      <c r="I102" s="2" t="s">
        <v>13</v>
      </c>
    </row>
    <row r="103" spans="1:9" x14ac:dyDescent="0.45">
      <c r="A103">
        <f>MONTH(Budget3[[#This Row],[Date]])</f>
        <v>3</v>
      </c>
      <c r="B103" s="1">
        <v>45744</v>
      </c>
      <c r="C103" s="1" t="s">
        <v>147</v>
      </c>
      <c r="D103" s="1" t="s">
        <v>130</v>
      </c>
      <c r="F103" s="2">
        <v>10.82</v>
      </c>
      <c r="G103" s="2">
        <f>SUM(G102+Budget3[[#This Row],[Income]]-Budget3[[#This Row],[Credit]])</f>
        <v>-3902.1000000000004</v>
      </c>
      <c r="H103" s="2" t="str">
        <f>TEXT(Budget3[[#This Row],[Date]], "mmm")</f>
        <v>Mar</v>
      </c>
      <c r="I103" s="2" t="s">
        <v>312</v>
      </c>
    </row>
    <row r="104" spans="1:9" x14ac:dyDescent="0.45">
      <c r="A104">
        <f>MONTH(Budget3[[#This Row],[Date]])</f>
        <v>3</v>
      </c>
      <c r="B104" s="1">
        <v>45744</v>
      </c>
      <c r="C104" s="1" t="s">
        <v>125</v>
      </c>
      <c r="D104" s="1" t="s">
        <v>13</v>
      </c>
      <c r="F104" s="2">
        <v>6.5</v>
      </c>
      <c r="G104" s="2">
        <f>SUM(G103+Budget3[[#This Row],[Income]]-Budget3[[#This Row],[Credit]])</f>
        <v>-3908.6000000000004</v>
      </c>
      <c r="H104" s="2" t="str">
        <f>TEXT(Budget3[[#This Row],[Date]], "mmm")</f>
        <v>Mar</v>
      </c>
      <c r="I104" s="2" t="s">
        <v>13</v>
      </c>
    </row>
    <row r="105" spans="1:9" x14ac:dyDescent="0.45">
      <c r="A105">
        <f>MONTH(Budget3[[#This Row],[Date]])</f>
        <v>3</v>
      </c>
      <c r="B105" s="1">
        <v>45744</v>
      </c>
      <c r="C105" s="1" t="s">
        <v>68</v>
      </c>
      <c r="D105" s="1" t="s">
        <v>130</v>
      </c>
      <c r="F105" s="2">
        <v>34.01</v>
      </c>
      <c r="G105" s="2">
        <f>SUM(G104+Budget3[[#This Row],[Income]]-Budget3[[#This Row],[Credit]])</f>
        <v>-3942.6100000000006</v>
      </c>
      <c r="H105" s="2" t="str">
        <f>TEXT(Budget3[[#This Row],[Date]], "mmm")</f>
        <v>Mar</v>
      </c>
      <c r="I105" s="2" t="s">
        <v>312</v>
      </c>
    </row>
    <row r="106" spans="1:9" x14ac:dyDescent="0.45">
      <c r="A106">
        <f>MONTH(Budget3[[#This Row],[Date]])</f>
        <v>3</v>
      </c>
      <c r="B106" s="1">
        <v>45744</v>
      </c>
      <c r="C106" s="1" t="s">
        <v>68</v>
      </c>
      <c r="D106" s="1" t="s">
        <v>130</v>
      </c>
      <c r="F106" s="2">
        <v>4.8499999999999996</v>
      </c>
      <c r="G106" s="2">
        <f>SUM(G105+Budget3[[#This Row],[Income]]-Budget3[[#This Row],[Credit]])</f>
        <v>-3947.4600000000005</v>
      </c>
      <c r="H106" s="2" t="str">
        <f>TEXT(Budget3[[#This Row],[Date]], "mmm")</f>
        <v>Mar</v>
      </c>
      <c r="I106" s="2" t="s">
        <v>312</v>
      </c>
    </row>
    <row r="107" spans="1:9" x14ac:dyDescent="0.45">
      <c r="A107">
        <f>MONTH(Budget3[[#This Row],[Date]])</f>
        <v>3</v>
      </c>
      <c r="B107" s="1">
        <v>45747</v>
      </c>
      <c r="C107" s="1" t="s">
        <v>32</v>
      </c>
      <c r="D107" s="1" t="s">
        <v>35</v>
      </c>
      <c r="F107" s="11">
        <v>28.39</v>
      </c>
      <c r="G107" s="2">
        <f>SUM(G106+Budget3[[#This Row],[Income]]-Budget3[[#This Row],[Credit]])</f>
        <v>-3975.8500000000004</v>
      </c>
      <c r="H107" s="2" t="str">
        <f>TEXT(Budget3[[#This Row],[Date]], "mmm")</f>
        <v>Mar</v>
      </c>
      <c r="I107" s="2" t="s">
        <v>9</v>
      </c>
    </row>
    <row r="108" spans="1:9" x14ac:dyDescent="0.45">
      <c r="A108">
        <f>MONTH(Budget3[[#This Row],[Date]])</f>
        <v>3</v>
      </c>
      <c r="B108" s="1">
        <v>45741</v>
      </c>
      <c r="C108" s="1" t="s">
        <v>98</v>
      </c>
      <c r="D108" s="1" t="s">
        <v>100</v>
      </c>
      <c r="E108" s="2">
        <v>-67</v>
      </c>
      <c r="G108" s="2">
        <f>SUM(G107+Budget3[[#This Row],[Income]]-Budget3[[#This Row],[Credit]])</f>
        <v>-4042.8500000000004</v>
      </c>
      <c r="H108" s="2" t="str">
        <f>TEXT(Budget3[[#This Row],[Date]], "mmm")</f>
        <v>Mar</v>
      </c>
      <c r="I108" s="2" t="s">
        <v>100</v>
      </c>
    </row>
    <row r="109" spans="1:9" x14ac:dyDescent="0.45">
      <c r="A109">
        <f>MONTH(Budget3[[#This Row],[Date]])</f>
        <v>3</v>
      </c>
      <c r="B109" s="1">
        <v>45736</v>
      </c>
      <c r="C109" s="1" t="s">
        <v>17</v>
      </c>
      <c r="D109" s="1" t="s">
        <v>4</v>
      </c>
      <c r="E109" s="2">
        <v>627.04999999999995</v>
      </c>
      <c r="G109" s="2">
        <f>SUM(G108+Budget3[[#This Row],[Income]]-Budget3[[#This Row],[Credit]])</f>
        <v>-3415.8</v>
      </c>
      <c r="H109" s="2" t="str">
        <f>TEXT(Budget3[[#This Row],[Date]], "mmm")</f>
        <v>Mar</v>
      </c>
      <c r="I109" s="2" t="str">
        <f>IF(ISNUMBER(SEARCH("income", Budget3[[#This Row],[Category]])), "Income", "")</f>
        <v>Income</v>
      </c>
    </row>
    <row r="110" spans="1:9" x14ac:dyDescent="0.45">
      <c r="A110">
        <f>MONTH(Budget3[[#This Row],[Date]])</f>
        <v>3</v>
      </c>
      <c r="B110" s="1">
        <v>45741</v>
      </c>
      <c r="C110" s="1" t="s">
        <v>150</v>
      </c>
      <c r="D110" s="1" t="s">
        <v>100</v>
      </c>
      <c r="E110" s="2">
        <v>-40</v>
      </c>
      <c r="G110" s="2">
        <f>SUM(G109+Budget3[[#This Row],[Income]]-Budget3[[#This Row],[Credit]])</f>
        <v>-3455.8</v>
      </c>
      <c r="H110" s="2" t="str">
        <f>TEXT(Budget3[[#This Row],[Date]], "mmm")</f>
        <v>Mar</v>
      </c>
      <c r="I110" s="2" t="s">
        <v>100</v>
      </c>
    </row>
    <row r="111" spans="1:9" x14ac:dyDescent="0.45">
      <c r="A111">
        <f>MONTH(Budget3[[#This Row],[Date]])</f>
        <v>3</v>
      </c>
      <c r="B111" s="1">
        <v>45741</v>
      </c>
      <c r="C111" s="1" t="s">
        <v>8</v>
      </c>
      <c r="D111" s="1" t="s">
        <v>9</v>
      </c>
      <c r="F111" s="11">
        <v>300</v>
      </c>
      <c r="G111" s="2">
        <f>SUM(G110+Budget3[[#This Row],[Income]]-Budget3[[#This Row],[Credit]])</f>
        <v>-3755.8</v>
      </c>
      <c r="H111" s="2" t="str">
        <f>TEXT(Budget3[[#This Row],[Date]], "mmm")</f>
        <v>Mar</v>
      </c>
      <c r="I111" s="2" t="s">
        <v>9</v>
      </c>
    </row>
    <row r="112" spans="1:9" x14ac:dyDescent="0.45">
      <c r="A112">
        <f>MONTH(Budget3[[#This Row],[Date]])</f>
        <v>3</v>
      </c>
      <c r="B112" s="1">
        <v>45746</v>
      </c>
      <c r="C112" s="1" t="s">
        <v>151</v>
      </c>
      <c r="D112" s="1" t="s">
        <v>39</v>
      </c>
      <c r="F112" s="2">
        <v>16.54</v>
      </c>
      <c r="G112" s="2">
        <f>SUM(G111+Budget3[[#This Row],[Income]]-Budget3[[#This Row],[Credit]])</f>
        <v>-3772.34</v>
      </c>
      <c r="H112" s="2" t="str">
        <f>TEXT(Budget3[[#This Row],[Date]], "mmm")</f>
        <v>Mar</v>
      </c>
      <c r="I112" s="2" t="s">
        <v>339</v>
      </c>
    </row>
    <row r="113" spans="1:9" ht="14.65" thickBot="1" x14ac:dyDescent="0.5">
      <c r="A113" s="27">
        <f>MONTH(Budget3[[#This Row],[Date]])</f>
        <v>3</v>
      </c>
      <c r="B113" s="28">
        <v>45747</v>
      </c>
      <c r="C113" s="28" t="s">
        <v>70</v>
      </c>
      <c r="D113" s="28" t="s">
        <v>13</v>
      </c>
      <c r="E113" s="29"/>
      <c r="F113" s="29">
        <v>22.61</v>
      </c>
      <c r="G113" s="29">
        <f>SUM(G112+Budget3[[#This Row],[Income]]-Budget3[[#This Row],[Credit]])</f>
        <v>-3794.9500000000003</v>
      </c>
      <c r="H113" s="2" t="str">
        <f>TEXT(Budget3[[#This Row],[Date]], "mmm")</f>
        <v>Mar</v>
      </c>
      <c r="I113" s="2" t="s">
        <v>13</v>
      </c>
    </row>
    <row r="114" spans="1:9" ht="14.65" thickTop="1" x14ac:dyDescent="0.45">
      <c r="A114">
        <f>MONTH(Budget3[[#This Row],[Date]])</f>
        <v>4</v>
      </c>
      <c r="B114" s="1">
        <v>45749</v>
      </c>
      <c r="C114" t="s">
        <v>349</v>
      </c>
      <c r="D114" s="1" t="s">
        <v>29</v>
      </c>
      <c r="F114" s="50">
        <v>629.96</v>
      </c>
      <c r="G114" s="2">
        <f>SUM(G113+Budget3[[#This Row],[Income]]-Budget3[[#This Row],[Credit]])</f>
        <v>-4424.91</v>
      </c>
      <c r="H114" s="2" t="str">
        <f>TEXT(Budget3[[#This Row],[Date]], "mmm")</f>
        <v>Apr</v>
      </c>
      <c r="I114" s="2" t="s">
        <v>29</v>
      </c>
    </row>
    <row r="115" spans="1:9" x14ac:dyDescent="0.45">
      <c r="A115">
        <f>MONTH(Budget3[[#This Row],[Date]])</f>
        <v>4</v>
      </c>
      <c r="B115" s="1">
        <v>45749</v>
      </c>
      <c r="C115" s="1" t="s">
        <v>17</v>
      </c>
      <c r="D115" s="1" t="s">
        <v>4</v>
      </c>
      <c r="E115" s="2">
        <v>220.77</v>
      </c>
      <c r="G115" s="2">
        <f>SUM(G114+Budget3[[#This Row],[Income]]-Budget3[[#This Row],[Credit]])</f>
        <v>-4204.1399999999994</v>
      </c>
      <c r="H115" s="2" t="str">
        <f>TEXT(Budget3[[#This Row],[Date]], "mmm")</f>
        <v>Apr</v>
      </c>
      <c r="I115" s="2" t="str">
        <f>IF(ISNUMBER(SEARCH("income", Budget3[[#This Row],[Category]])), "Income", "")</f>
        <v>Income</v>
      </c>
    </row>
    <row r="116" spans="1:9" x14ac:dyDescent="0.45">
      <c r="A116">
        <f>MONTH(Budget3[[#This Row],[Date]])</f>
        <v>4</v>
      </c>
      <c r="B116" s="1">
        <v>45751</v>
      </c>
      <c r="C116" s="1" t="s">
        <v>152</v>
      </c>
      <c r="D116" s="1" t="s">
        <v>4</v>
      </c>
      <c r="E116" s="2">
        <v>50</v>
      </c>
      <c r="G116" s="2">
        <f>SUM(G115+Budget3[[#This Row],[Income]]-Budget3[[#This Row],[Credit]])</f>
        <v>-4154.1399999999994</v>
      </c>
      <c r="H116" s="2" t="str">
        <f>TEXT(Budget3[[#This Row],[Date]], "mmm")</f>
        <v>Apr</v>
      </c>
      <c r="I116" s="2" t="s">
        <v>346</v>
      </c>
    </row>
    <row r="117" spans="1:9" x14ac:dyDescent="0.45">
      <c r="A117">
        <f>MONTH(Budget3[[#This Row],[Date]])</f>
        <v>4</v>
      </c>
      <c r="B117" s="1">
        <v>45753</v>
      </c>
      <c r="C117" s="1" t="s">
        <v>150</v>
      </c>
      <c r="D117" s="1" t="s">
        <v>100</v>
      </c>
      <c r="E117" s="2">
        <v>-20</v>
      </c>
      <c r="G117" s="2">
        <f>SUM(G116+Budget3[[#This Row],[Income]]-Budget3[[#This Row],[Credit]])</f>
        <v>-4174.1399999999994</v>
      </c>
      <c r="H117" s="2" t="str">
        <f>TEXT(Budget3[[#This Row],[Date]], "mmm")</f>
        <v>Apr</v>
      </c>
      <c r="I117" s="2" t="s">
        <v>100</v>
      </c>
    </row>
    <row r="118" spans="1:9" x14ac:dyDescent="0.45">
      <c r="A118">
        <f>MONTH(Budget3[[#This Row],[Date]])</f>
        <v>4</v>
      </c>
      <c r="B118" s="1">
        <v>45758</v>
      </c>
      <c r="C118" s="1" t="s">
        <v>150</v>
      </c>
      <c r="D118" s="1" t="s">
        <v>100</v>
      </c>
      <c r="E118" s="2">
        <v>-150</v>
      </c>
      <c r="G118" s="2">
        <f>SUM(G117+Budget3[[#This Row],[Income]]-Budget3[[#This Row],[Credit]])</f>
        <v>-4324.1399999999994</v>
      </c>
      <c r="H118" s="2" t="str">
        <f>TEXT(Budget3[[#This Row],[Date]], "mmm")</f>
        <v>Apr</v>
      </c>
      <c r="I118" s="2" t="s">
        <v>100</v>
      </c>
    </row>
    <row r="119" spans="1:9" x14ac:dyDescent="0.45">
      <c r="A119">
        <f>MONTH(Budget3[[#This Row],[Date]])</f>
        <v>4</v>
      </c>
      <c r="B119" s="1">
        <v>45753</v>
      </c>
      <c r="C119" s="1" t="s">
        <v>106</v>
      </c>
      <c r="D119" s="1" t="s">
        <v>100</v>
      </c>
      <c r="E119" s="2">
        <v>-65</v>
      </c>
      <c r="G119" s="2">
        <f>SUM(G118+Budget3[[#This Row],[Income]]-Budget3[[#This Row],[Credit]])</f>
        <v>-4389.1399999999994</v>
      </c>
      <c r="H119" s="2" t="str">
        <f>TEXT(Budget3[[#This Row],[Date]], "mmm")</f>
        <v>Apr</v>
      </c>
      <c r="I119" s="2" t="s">
        <v>100</v>
      </c>
    </row>
    <row r="120" spans="1:9" x14ac:dyDescent="0.45">
      <c r="A120">
        <f>MONTH(Budget3[[#This Row],[Date]])</f>
        <v>4</v>
      </c>
      <c r="B120" s="1">
        <v>45748</v>
      </c>
      <c r="C120" s="1" t="s">
        <v>123</v>
      </c>
      <c r="D120" s="1" t="s">
        <v>13</v>
      </c>
      <c r="F120" s="2">
        <v>11.89</v>
      </c>
      <c r="G120" s="2">
        <f>SUM(G119+Budget3[[#This Row],[Income]]-Budget3[[#This Row],[Credit]])</f>
        <v>-4401.03</v>
      </c>
      <c r="H120" s="2" t="str">
        <f>TEXT(Budget3[[#This Row],[Date]], "mmm")</f>
        <v>Apr</v>
      </c>
      <c r="I120" s="2" t="s">
        <v>13</v>
      </c>
    </row>
    <row r="121" spans="1:9" x14ac:dyDescent="0.45">
      <c r="A121">
        <f>MONTH(Budget3[[#This Row],[Date]])</f>
        <v>4</v>
      </c>
      <c r="B121" s="1">
        <v>45750</v>
      </c>
      <c r="C121" s="1" t="s">
        <v>18</v>
      </c>
      <c r="D121" s="1" t="s">
        <v>16</v>
      </c>
      <c r="F121" s="2">
        <v>51.98</v>
      </c>
      <c r="G121" s="2">
        <f>SUM(G120+Budget3[[#This Row],[Income]]-Budget3[[#This Row],[Credit]])</f>
        <v>-4453.0099999999993</v>
      </c>
      <c r="H121" s="2" t="str">
        <f>TEXT(Budget3[[#This Row],[Date]], "mmm")</f>
        <v>Apr</v>
      </c>
      <c r="I121" s="2" t="s">
        <v>16</v>
      </c>
    </row>
    <row r="122" spans="1:9" x14ac:dyDescent="0.45">
      <c r="A122">
        <f>MONTH(Budget3[[#This Row],[Date]])</f>
        <v>4</v>
      </c>
      <c r="B122" s="1">
        <v>45751</v>
      </c>
      <c r="C122" s="1" t="s">
        <v>78</v>
      </c>
      <c r="D122" s="1" t="s">
        <v>13</v>
      </c>
      <c r="F122" s="2">
        <v>42.52</v>
      </c>
      <c r="G122" s="2">
        <f>SUM(G121+Budget3[[#This Row],[Income]]-Budget3[[#This Row],[Credit]])</f>
        <v>-4495.53</v>
      </c>
      <c r="H122" s="2" t="str">
        <f>TEXT(Budget3[[#This Row],[Date]], "mmm")</f>
        <v>Apr</v>
      </c>
      <c r="I122" s="2" t="s">
        <v>13</v>
      </c>
    </row>
    <row r="123" spans="1:9" x14ac:dyDescent="0.45">
      <c r="A123">
        <f>MONTH(Budget3[[#This Row],[Date]])</f>
        <v>4</v>
      </c>
      <c r="B123" s="1">
        <v>45752</v>
      </c>
      <c r="C123" s="1" t="s">
        <v>78</v>
      </c>
      <c r="D123" s="1" t="s">
        <v>13</v>
      </c>
      <c r="F123" s="2">
        <v>1.94</v>
      </c>
      <c r="G123" s="2">
        <f>SUM(G122+Budget3[[#This Row],[Income]]-Budget3[[#This Row],[Credit]])</f>
        <v>-4497.4699999999993</v>
      </c>
      <c r="H123" s="2" t="str">
        <f>TEXT(Budget3[[#This Row],[Date]], "mmm")</f>
        <v>Apr</v>
      </c>
      <c r="I123" s="2" t="s">
        <v>13</v>
      </c>
    </row>
    <row r="124" spans="1:9" x14ac:dyDescent="0.45">
      <c r="A124">
        <f>MONTH(Budget3[[#This Row],[Date]])</f>
        <v>4</v>
      </c>
      <c r="B124" s="1">
        <v>45753</v>
      </c>
      <c r="C124" s="1" t="s">
        <v>153</v>
      </c>
      <c r="D124" s="1" t="s">
        <v>13</v>
      </c>
      <c r="F124" s="2">
        <v>36.5</v>
      </c>
      <c r="G124" s="2">
        <f>SUM(G123+Budget3[[#This Row],[Income]]-Budget3[[#This Row],[Credit]])</f>
        <v>-4533.9699999999993</v>
      </c>
      <c r="H124" s="2" t="str">
        <f>TEXT(Budget3[[#This Row],[Date]], "mmm")</f>
        <v>Apr</v>
      </c>
      <c r="I124" s="2" t="s">
        <v>13</v>
      </c>
    </row>
    <row r="125" spans="1:9" x14ac:dyDescent="0.45">
      <c r="A125">
        <f>MONTH(Budget3[[#This Row],[Date]])</f>
        <v>4</v>
      </c>
      <c r="B125" s="1">
        <v>45754</v>
      </c>
      <c r="C125" s="1" t="s">
        <v>28</v>
      </c>
      <c r="D125" s="1" t="s">
        <v>39</v>
      </c>
      <c r="F125" s="2">
        <v>9.74</v>
      </c>
      <c r="G125" s="2">
        <f>SUM(G124+Budget3[[#This Row],[Income]]-Budget3[[#This Row],[Credit]])</f>
        <v>-4543.7099999999991</v>
      </c>
      <c r="H125" s="2" t="str">
        <f>TEXT(Budget3[[#This Row],[Date]], "mmm")</f>
        <v>Apr</v>
      </c>
      <c r="I125" s="2" t="s">
        <v>339</v>
      </c>
    </row>
    <row r="126" spans="1:9" x14ac:dyDescent="0.45">
      <c r="A126">
        <f>MONTH(Budget3[[#This Row],[Date]])</f>
        <v>4</v>
      </c>
      <c r="B126" s="1">
        <v>45755</v>
      </c>
      <c r="C126" s="1" t="s">
        <v>154</v>
      </c>
      <c r="D126" s="1" t="s">
        <v>39</v>
      </c>
      <c r="F126" s="2">
        <v>6.06</v>
      </c>
      <c r="G126" s="2">
        <f>SUM(G125+Budget3[[#This Row],[Income]]-Budget3[[#This Row],[Credit]])</f>
        <v>-4549.7699999999995</v>
      </c>
      <c r="H126" s="2" t="str">
        <f>TEXT(Budget3[[#This Row],[Date]], "mmm")</f>
        <v>Apr</v>
      </c>
      <c r="I126" s="2" t="s">
        <v>339</v>
      </c>
    </row>
    <row r="127" spans="1:9" x14ac:dyDescent="0.45">
      <c r="A127">
        <f>MONTH(Budget3[[#This Row],[Date]])</f>
        <v>4</v>
      </c>
      <c r="B127" s="1">
        <v>45755</v>
      </c>
      <c r="C127" s="1" t="s">
        <v>155</v>
      </c>
      <c r="D127" s="1" t="s">
        <v>39</v>
      </c>
      <c r="F127" s="2">
        <v>37.049999999999997</v>
      </c>
      <c r="G127" s="2">
        <f>SUM(G126+Budget3[[#This Row],[Income]]-Budget3[[#This Row],[Credit]])</f>
        <v>-4586.82</v>
      </c>
      <c r="H127" s="2" t="str">
        <f>TEXT(Budget3[[#This Row],[Date]], "mmm")</f>
        <v>Apr</v>
      </c>
      <c r="I127" s="2" t="s">
        <v>339</v>
      </c>
    </row>
    <row r="128" spans="1:9" x14ac:dyDescent="0.45">
      <c r="A128">
        <f>MONTH(Budget3[[#This Row],[Date]])</f>
        <v>4</v>
      </c>
      <c r="B128" s="1">
        <v>45761</v>
      </c>
      <c r="C128" s="1" t="s">
        <v>156</v>
      </c>
      <c r="D128" s="1" t="s">
        <v>39</v>
      </c>
      <c r="F128" s="2">
        <v>8.98</v>
      </c>
      <c r="G128" s="2">
        <f>SUM(G127+Budget3[[#This Row],[Income]]-Budget3[[#This Row],[Credit]])</f>
        <v>-4595.7999999999993</v>
      </c>
      <c r="H128" s="2" t="str">
        <f>TEXT(Budget3[[#This Row],[Date]], "mmm")</f>
        <v>Apr</v>
      </c>
      <c r="I128" s="2" t="s">
        <v>339</v>
      </c>
    </row>
    <row r="129" spans="1:9" x14ac:dyDescent="0.45">
      <c r="A129">
        <f>MONTH(Budget3[[#This Row],[Date]])</f>
        <v>4</v>
      </c>
      <c r="B129" s="1">
        <v>45761</v>
      </c>
      <c r="C129" s="1" t="s">
        <v>18</v>
      </c>
      <c r="D129" s="1" t="s">
        <v>16</v>
      </c>
      <c r="F129" s="2">
        <v>43.35</v>
      </c>
      <c r="G129" s="2">
        <f>SUM(G128+Budget3[[#This Row],[Income]]-Budget3[[#This Row],[Credit]])</f>
        <v>-4639.1499999999996</v>
      </c>
      <c r="H129" s="2" t="str">
        <f>TEXT(Budget3[[#This Row],[Date]], "mmm")</f>
        <v>Apr</v>
      </c>
      <c r="I129" s="2" t="s">
        <v>16</v>
      </c>
    </row>
    <row r="130" spans="1:9" x14ac:dyDescent="0.45">
      <c r="A130">
        <f>MONTH(Budget3[[#This Row],[Date]])</f>
        <v>4</v>
      </c>
      <c r="B130" s="1">
        <v>45762</v>
      </c>
      <c r="C130" s="1" t="s">
        <v>92</v>
      </c>
      <c r="D130" s="1" t="s">
        <v>130</v>
      </c>
      <c r="F130" s="2">
        <v>21.64</v>
      </c>
      <c r="G130" s="2">
        <f>SUM(G129+Budget3[[#This Row],[Income]]-Budget3[[#This Row],[Credit]])</f>
        <v>-4660.79</v>
      </c>
      <c r="H130" s="2" t="str">
        <f>TEXT(Budget3[[#This Row],[Date]], "mmm")</f>
        <v>Apr</v>
      </c>
      <c r="I130" s="2" t="s">
        <v>344</v>
      </c>
    </row>
    <row r="131" spans="1:9" x14ac:dyDescent="0.45">
      <c r="A131">
        <f>MONTH(Budget3[[#This Row],[Date]])</f>
        <v>4</v>
      </c>
      <c r="B131" s="1">
        <v>45764</v>
      </c>
      <c r="C131" s="1" t="s">
        <v>157</v>
      </c>
      <c r="D131" s="1" t="s">
        <v>13</v>
      </c>
      <c r="F131" s="2">
        <v>12</v>
      </c>
      <c r="G131" s="2">
        <f>SUM(G130+Budget3[[#This Row],[Income]]-Budget3[[#This Row],[Credit]])</f>
        <v>-4672.79</v>
      </c>
      <c r="H131" s="2" t="str">
        <f>TEXT(Budget3[[#This Row],[Date]], "mmm")</f>
        <v>Apr</v>
      </c>
      <c r="I131" s="2" t="s">
        <v>13</v>
      </c>
    </row>
    <row r="132" spans="1:9" x14ac:dyDescent="0.45">
      <c r="A132">
        <f>MONTH(Budget3[[#This Row],[Date]])</f>
        <v>4</v>
      </c>
      <c r="B132" s="1">
        <v>45764</v>
      </c>
      <c r="C132" s="1" t="s">
        <v>158</v>
      </c>
      <c r="D132" s="1" t="s">
        <v>130</v>
      </c>
      <c r="F132" s="2">
        <v>64.45</v>
      </c>
      <c r="G132" s="2">
        <f>SUM(G131+Budget3[[#This Row],[Income]]-Budget3[[#This Row],[Credit]])</f>
        <v>-4737.24</v>
      </c>
      <c r="H132" s="2" t="str">
        <f>TEXT(Budget3[[#This Row],[Date]], "mmm")</f>
        <v>Apr</v>
      </c>
      <c r="I132" s="2" t="s">
        <v>342</v>
      </c>
    </row>
    <row r="133" spans="1:9" x14ac:dyDescent="0.45">
      <c r="A133">
        <f>MONTH(Budget3[[#This Row],[Date]])</f>
        <v>4</v>
      </c>
      <c r="B133" s="1">
        <v>45765</v>
      </c>
      <c r="C133" s="1" t="s">
        <v>159</v>
      </c>
      <c r="D133" s="1" t="s">
        <v>13</v>
      </c>
      <c r="F133" s="2">
        <v>33</v>
      </c>
      <c r="G133" s="2">
        <f>SUM(G132+Budget3[[#This Row],[Income]]-Budget3[[#This Row],[Credit]])</f>
        <v>-4770.24</v>
      </c>
      <c r="H133" s="2" t="str">
        <f>TEXT(Budget3[[#This Row],[Date]], "mmm")</f>
        <v>Apr</v>
      </c>
      <c r="I133" s="2" t="s">
        <v>13</v>
      </c>
    </row>
    <row r="134" spans="1:9" x14ac:dyDescent="0.45">
      <c r="A134">
        <f>MONTH(Budget3[[#This Row],[Date]])</f>
        <v>4</v>
      </c>
      <c r="B134" s="1">
        <v>45762</v>
      </c>
      <c r="C134" s="1" t="s">
        <v>160</v>
      </c>
      <c r="D134" s="1" t="s">
        <v>100</v>
      </c>
      <c r="E134" s="2">
        <v>-30</v>
      </c>
      <c r="G134" s="2">
        <f>SUM(G133+Budget3[[#This Row],[Income]]-Budget3[[#This Row],[Credit]])</f>
        <v>-4800.24</v>
      </c>
      <c r="H134" s="2" t="str">
        <f>TEXT(Budget3[[#This Row],[Date]], "mmm")</f>
        <v>Apr</v>
      </c>
      <c r="I134" s="2" t="s">
        <v>100</v>
      </c>
    </row>
    <row r="135" spans="1:9" x14ac:dyDescent="0.45">
      <c r="A135">
        <f>MONTH(Budget3[[#This Row],[Date]])</f>
        <v>4</v>
      </c>
      <c r="B135" s="1">
        <v>45764</v>
      </c>
      <c r="C135" s="1" t="s">
        <v>17</v>
      </c>
      <c r="D135" s="1" t="s">
        <v>4</v>
      </c>
      <c r="E135" s="2">
        <v>611.33000000000004</v>
      </c>
      <c r="G135" s="2">
        <f>SUM(G134+Budget3[[#This Row],[Income]]-Budget3[[#This Row],[Credit]])</f>
        <v>-4188.91</v>
      </c>
      <c r="H135" s="2" t="str">
        <f>TEXT(Budget3[[#This Row],[Date]], "mmm")</f>
        <v>Apr</v>
      </c>
      <c r="I135" s="2" t="str">
        <f>IF(ISNUMBER(SEARCH("income", Budget3[[#This Row],[Category]])), "Income", "")</f>
        <v>Income</v>
      </c>
    </row>
    <row r="136" spans="1:9" x14ac:dyDescent="0.45">
      <c r="A136">
        <f>MONTH(Budget3[[#This Row],[Date]])</f>
        <v>4</v>
      </c>
      <c r="B136" s="1">
        <v>45766</v>
      </c>
      <c r="C136" t="s">
        <v>349</v>
      </c>
      <c r="D136" s="1" t="s">
        <v>29</v>
      </c>
      <c r="F136" s="50">
        <v>381.1</v>
      </c>
      <c r="G136" s="2">
        <f>SUM(G135+Budget3[[#This Row],[Income]]-Budget3[[#This Row],[Credit]])</f>
        <v>-4570.01</v>
      </c>
      <c r="H136" s="2" t="str">
        <f>TEXT(Budget3[[#This Row],[Date]], "mmm")</f>
        <v>Apr</v>
      </c>
      <c r="I136" s="2" t="s">
        <v>29</v>
      </c>
    </row>
    <row r="137" spans="1:9" x14ac:dyDescent="0.45">
      <c r="A137">
        <f>MONTH(Budget3[[#This Row],[Date]])</f>
        <v>4</v>
      </c>
      <c r="B137" s="1">
        <v>45768</v>
      </c>
      <c r="C137" s="1" t="s">
        <v>18</v>
      </c>
      <c r="D137" s="1" t="s">
        <v>16</v>
      </c>
      <c r="F137" s="2">
        <v>34.74</v>
      </c>
      <c r="G137" s="2">
        <f>SUM(G136+Budget3[[#This Row],[Income]]-Budget3[[#This Row],[Credit]])</f>
        <v>-4604.75</v>
      </c>
      <c r="H137" s="2" t="str">
        <f>TEXT(Budget3[[#This Row],[Date]], "mmm")</f>
        <v>Apr</v>
      </c>
      <c r="I137" s="2" t="s">
        <v>16</v>
      </c>
    </row>
    <row r="138" spans="1:9" x14ac:dyDescent="0.45">
      <c r="A138">
        <f>MONTH(Budget3[[#This Row],[Date]])</f>
        <v>4</v>
      </c>
      <c r="B138" s="1">
        <v>45768</v>
      </c>
      <c r="C138" s="1" t="s">
        <v>119</v>
      </c>
      <c r="D138" s="1" t="s">
        <v>130</v>
      </c>
      <c r="F138" s="2">
        <v>24.42</v>
      </c>
      <c r="G138" s="2">
        <f>SUM(G137+Budget3[[#This Row],[Income]]-Budget3[[#This Row],[Credit]])</f>
        <v>-4629.17</v>
      </c>
      <c r="H138" s="2" t="str">
        <f>TEXT(Budget3[[#This Row],[Date]], "mmm")</f>
        <v>Apr</v>
      </c>
      <c r="I138" s="2" t="s">
        <v>345</v>
      </c>
    </row>
    <row r="139" spans="1:9" x14ac:dyDescent="0.45">
      <c r="A139">
        <f>MONTH(Budget3[[#This Row],[Date]])</f>
        <v>4</v>
      </c>
      <c r="B139" s="1">
        <v>45768</v>
      </c>
      <c r="C139" s="1" t="s">
        <v>119</v>
      </c>
      <c r="D139" s="1" t="s">
        <v>130</v>
      </c>
      <c r="F139" s="2">
        <v>16.93</v>
      </c>
      <c r="G139" s="2">
        <f>SUM(G138+Budget3[[#This Row],[Income]]-Budget3[[#This Row],[Credit]])</f>
        <v>-4646.1000000000004</v>
      </c>
      <c r="H139" s="2" t="str">
        <f>TEXT(Budget3[[#This Row],[Date]], "mmm")</f>
        <v>Apr</v>
      </c>
      <c r="I139" s="2" t="s">
        <v>345</v>
      </c>
    </row>
    <row r="140" spans="1:9" x14ac:dyDescent="0.45">
      <c r="A140">
        <f>MONTH(Budget3[[#This Row],[Date]])</f>
        <v>4</v>
      </c>
      <c r="B140" s="1">
        <v>45769</v>
      </c>
      <c r="C140" s="1" t="s">
        <v>148</v>
      </c>
      <c r="D140" s="1" t="s">
        <v>13</v>
      </c>
      <c r="F140" s="2">
        <v>14.58</v>
      </c>
      <c r="G140" s="2">
        <f>SUM(G139+Budget3[[#This Row],[Income]]-Budget3[[#This Row],[Credit]])</f>
        <v>-4660.68</v>
      </c>
      <c r="H140" s="2" t="str">
        <f>TEXT(Budget3[[#This Row],[Date]], "mmm")</f>
        <v>Apr</v>
      </c>
      <c r="I140" s="2" t="s">
        <v>13</v>
      </c>
    </row>
    <row r="141" spans="1:9" x14ac:dyDescent="0.45">
      <c r="A141">
        <f>MONTH(Budget3[[#This Row],[Date]])</f>
        <v>4</v>
      </c>
      <c r="B141" s="1">
        <v>45769</v>
      </c>
      <c r="C141" s="1" t="s">
        <v>148</v>
      </c>
      <c r="D141" s="1" t="s">
        <v>13</v>
      </c>
      <c r="F141" s="2">
        <v>4.8600000000000003</v>
      </c>
      <c r="G141" s="2">
        <f>SUM(G140+Budget3[[#This Row],[Income]]-Budget3[[#This Row],[Credit]])</f>
        <v>-4665.54</v>
      </c>
      <c r="H141" s="2" t="str">
        <f>TEXT(Budget3[[#This Row],[Date]], "mmm")</f>
        <v>Apr</v>
      </c>
      <c r="I141" s="2" t="s">
        <v>13</v>
      </c>
    </row>
    <row r="142" spans="1:9" x14ac:dyDescent="0.45">
      <c r="A142">
        <f>MONTH(Budget3[[#This Row],[Date]])</f>
        <v>4</v>
      </c>
      <c r="B142" s="1">
        <v>45769</v>
      </c>
      <c r="C142" s="1" t="s">
        <v>78</v>
      </c>
      <c r="D142" s="1" t="s">
        <v>13</v>
      </c>
      <c r="F142" s="2">
        <v>51.63</v>
      </c>
      <c r="G142" s="2">
        <f>SUM(G141+Budget3[[#This Row],[Income]]-Budget3[[#This Row],[Credit]])</f>
        <v>-4717.17</v>
      </c>
      <c r="H142" s="2" t="str">
        <f>TEXT(Budget3[[#This Row],[Date]], "mmm")</f>
        <v>Apr</v>
      </c>
      <c r="I142" s="2" t="s">
        <v>13</v>
      </c>
    </row>
    <row r="143" spans="1:9" x14ac:dyDescent="0.45">
      <c r="A143">
        <f>MONTH(Budget3[[#This Row],[Date]])</f>
        <v>4</v>
      </c>
      <c r="B143" s="1">
        <v>45769</v>
      </c>
      <c r="C143" s="1" t="s">
        <v>68</v>
      </c>
      <c r="D143" s="1" t="s">
        <v>13</v>
      </c>
      <c r="F143" s="2">
        <v>20.56</v>
      </c>
      <c r="G143" s="2">
        <f>SUM(G142+Budget3[[#This Row],[Income]]-Budget3[[#This Row],[Credit]])</f>
        <v>-4737.7300000000005</v>
      </c>
      <c r="H143" s="2" t="str">
        <f>TEXT(Budget3[[#This Row],[Date]], "mmm")</f>
        <v>Apr</v>
      </c>
      <c r="I143" s="2" t="s">
        <v>13</v>
      </c>
    </row>
    <row r="144" spans="1:9" x14ac:dyDescent="0.45">
      <c r="A144">
        <f>MONTH(Budget3[[#This Row],[Date]])</f>
        <v>4</v>
      </c>
      <c r="B144" s="1">
        <v>45770</v>
      </c>
      <c r="C144" s="1" t="s">
        <v>78</v>
      </c>
      <c r="D144" s="1" t="s">
        <v>13</v>
      </c>
      <c r="F144" s="2">
        <v>32.46</v>
      </c>
      <c r="G144" s="2">
        <f>SUM(G143+Budget3[[#This Row],[Income]]-Budget3[[#This Row],[Credit]])</f>
        <v>-4770.1900000000005</v>
      </c>
      <c r="H144" s="2" t="str">
        <f>TEXT(Budget3[[#This Row],[Date]], "mmm")</f>
        <v>Apr</v>
      </c>
      <c r="I144" s="2" t="s">
        <v>13</v>
      </c>
    </row>
    <row r="145" spans="1:9" x14ac:dyDescent="0.45">
      <c r="A145">
        <f>MONTH(Budget3[[#This Row],[Date]])</f>
        <v>4</v>
      </c>
      <c r="B145" s="1">
        <v>45770</v>
      </c>
      <c r="C145" s="1" t="s">
        <v>165</v>
      </c>
      <c r="D145" s="1" t="s">
        <v>39</v>
      </c>
      <c r="F145" s="2">
        <v>10.6</v>
      </c>
      <c r="G145" s="2">
        <f>SUM(G144+Budget3[[#This Row],[Income]]-Budget3[[#This Row],[Credit]])</f>
        <v>-4780.7900000000009</v>
      </c>
      <c r="H145" s="2" t="str">
        <f>TEXT(Budget3[[#This Row],[Date]], "mmm")</f>
        <v>Apr</v>
      </c>
      <c r="I145" s="2" t="s">
        <v>339</v>
      </c>
    </row>
    <row r="146" spans="1:9" x14ac:dyDescent="0.45">
      <c r="A146">
        <f>MONTH(Budget3[[#This Row],[Date]])</f>
        <v>4</v>
      </c>
      <c r="B146" s="1">
        <v>45770</v>
      </c>
      <c r="C146" s="1" t="s">
        <v>28</v>
      </c>
      <c r="D146" s="1" t="s">
        <v>39</v>
      </c>
      <c r="F146" s="2">
        <v>9.74</v>
      </c>
      <c r="G146" s="2">
        <f>SUM(G145+Budget3[[#This Row],[Income]]-Budget3[[#This Row],[Credit]])</f>
        <v>-4790.5300000000007</v>
      </c>
      <c r="H146" s="2" t="str">
        <f>TEXT(Budget3[[#This Row],[Date]], "mmm")</f>
        <v>Apr</v>
      </c>
      <c r="I146" s="2" t="s">
        <v>339</v>
      </c>
    </row>
    <row r="147" spans="1:9" x14ac:dyDescent="0.45">
      <c r="A147">
        <f>MONTH(Budget3[[#This Row],[Date]])</f>
        <v>4</v>
      </c>
      <c r="B147" s="1">
        <v>45771</v>
      </c>
      <c r="C147" s="1" t="s">
        <v>161</v>
      </c>
      <c r="D147" s="1" t="s">
        <v>13</v>
      </c>
      <c r="F147" s="2">
        <v>34.630000000000003</v>
      </c>
      <c r="G147" s="2">
        <f>SUM(G146+Budget3[[#This Row],[Income]]-Budget3[[#This Row],[Credit]])</f>
        <v>-4825.1600000000008</v>
      </c>
      <c r="H147" s="2" t="str">
        <f>TEXT(Budget3[[#This Row],[Date]], "mmm")</f>
        <v>Apr</v>
      </c>
      <c r="I147" s="2" t="s">
        <v>13</v>
      </c>
    </row>
    <row r="148" spans="1:9" x14ac:dyDescent="0.45">
      <c r="A148">
        <f>MONTH(Budget3[[#This Row],[Date]])</f>
        <v>4</v>
      </c>
      <c r="B148" s="1">
        <v>45772</v>
      </c>
      <c r="C148" s="1" t="s">
        <v>12</v>
      </c>
      <c r="D148" s="1" t="s">
        <v>13</v>
      </c>
      <c r="F148" s="2">
        <v>29.21</v>
      </c>
      <c r="G148" s="2">
        <f>SUM(G147+Budget3[[#This Row],[Income]]-Budget3[[#This Row],[Credit]])</f>
        <v>-4854.3700000000008</v>
      </c>
      <c r="H148" s="2" t="str">
        <f>TEXT(Budget3[[#This Row],[Date]], "mmm")</f>
        <v>Apr</v>
      </c>
      <c r="I148" s="2" t="s">
        <v>13</v>
      </c>
    </row>
    <row r="149" spans="1:9" x14ac:dyDescent="0.45">
      <c r="A149">
        <f>MONTH(Budget3[[#This Row],[Date]])</f>
        <v>4</v>
      </c>
      <c r="B149" s="1">
        <v>45772</v>
      </c>
      <c r="C149" s="1" t="s">
        <v>12</v>
      </c>
      <c r="D149" s="1" t="s">
        <v>13</v>
      </c>
      <c r="F149" s="2">
        <v>23.79</v>
      </c>
      <c r="G149" s="2">
        <f>SUM(G148+Budget3[[#This Row],[Income]]-Budget3[[#This Row],[Credit]])</f>
        <v>-4878.1600000000008</v>
      </c>
      <c r="H149" s="2" t="str">
        <f>TEXT(Budget3[[#This Row],[Date]], "mmm")</f>
        <v>Apr</v>
      </c>
      <c r="I149" s="2" t="s">
        <v>13</v>
      </c>
    </row>
    <row r="150" spans="1:9" x14ac:dyDescent="0.45">
      <c r="A150">
        <f>MONTH(Budget3[[#This Row],[Date]])</f>
        <v>4</v>
      </c>
      <c r="B150" s="1">
        <v>45772</v>
      </c>
      <c r="C150" s="1" t="s">
        <v>148</v>
      </c>
      <c r="D150" s="1" t="s">
        <v>13</v>
      </c>
      <c r="F150" s="2">
        <v>9.7200000000000006</v>
      </c>
      <c r="G150" s="2">
        <f>SUM(G149+Budget3[[#This Row],[Income]]-Budget3[[#This Row],[Credit]])</f>
        <v>-4887.880000000001</v>
      </c>
      <c r="H150" s="2" t="str">
        <f>TEXT(Budget3[[#This Row],[Date]], "mmm")</f>
        <v>Apr</v>
      </c>
      <c r="I150" s="2" t="s">
        <v>13</v>
      </c>
    </row>
    <row r="151" spans="1:9" x14ac:dyDescent="0.45">
      <c r="A151">
        <f>MONTH(Budget3[[#This Row],[Date]])</f>
        <v>4</v>
      </c>
      <c r="B151" s="1">
        <v>45774</v>
      </c>
      <c r="C151" s="1" t="s">
        <v>162</v>
      </c>
      <c r="D151" s="1" t="s">
        <v>39</v>
      </c>
      <c r="F151" s="2">
        <v>35.35</v>
      </c>
      <c r="G151" s="2">
        <f>SUM(G150+Budget3[[#This Row],[Income]]-Budget3[[#This Row],[Credit]])</f>
        <v>-4923.2300000000014</v>
      </c>
      <c r="H151" s="2" t="str">
        <f>TEXT(Budget3[[#This Row],[Date]], "mmm")</f>
        <v>Apr</v>
      </c>
      <c r="I151" s="2" t="s">
        <v>339</v>
      </c>
    </row>
    <row r="152" spans="1:9" x14ac:dyDescent="0.45">
      <c r="A152">
        <f>MONTH(Budget3[[#This Row],[Date]])</f>
        <v>4</v>
      </c>
      <c r="B152" s="1">
        <v>45774</v>
      </c>
      <c r="C152" s="1" t="s">
        <v>163</v>
      </c>
      <c r="D152" s="1" t="s">
        <v>39</v>
      </c>
      <c r="F152" s="2">
        <v>13.49</v>
      </c>
      <c r="G152" s="2">
        <f>SUM(G151+Budget3[[#This Row],[Income]]-Budget3[[#This Row],[Credit]])</f>
        <v>-4936.7200000000012</v>
      </c>
      <c r="H152" s="2" t="str">
        <f>TEXT(Budget3[[#This Row],[Date]], "mmm")</f>
        <v>Apr</v>
      </c>
      <c r="I152" s="2" t="s">
        <v>339</v>
      </c>
    </row>
    <row r="153" spans="1:9" x14ac:dyDescent="0.45">
      <c r="A153">
        <f>MONTH(Budget3[[#This Row],[Date]])</f>
        <v>4</v>
      </c>
      <c r="B153" s="1">
        <v>45774</v>
      </c>
      <c r="C153" s="1" t="s">
        <v>164</v>
      </c>
      <c r="D153" s="1" t="s">
        <v>130</v>
      </c>
      <c r="F153" s="2">
        <v>44</v>
      </c>
      <c r="G153" s="2">
        <f>SUM(G152+Budget3[[#This Row],[Income]]-Budget3[[#This Row],[Credit]])</f>
        <v>-4980.7200000000012</v>
      </c>
      <c r="H153" s="2" t="str">
        <f>TEXT(Budget3[[#This Row],[Date]], "mmm")</f>
        <v>Apr</v>
      </c>
      <c r="I153" s="2" t="s">
        <v>342</v>
      </c>
    </row>
    <row r="154" spans="1:9" x14ac:dyDescent="0.45">
      <c r="A154">
        <f>MONTH(Budget3[[#This Row],[Date]])</f>
        <v>4</v>
      </c>
      <c r="B154" s="1">
        <v>45775</v>
      </c>
      <c r="C154" s="1" t="s">
        <v>165</v>
      </c>
      <c r="D154" s="1" t="s">
        <v>39</v>
      </c>
      <c r="F154" s="2">
        <v>38.93</v>
      </c>
      <c r="G154" s="2">
        <f>SUM(G153+Budget3[[#This Row],[Income]]-Budget3[[#This Row],[Credit]])</f>
        <v>-5019.6500000000015</v>
      </c>
      <c r="H154" s="2" t="str">
        <f>TEXT(Budget3[[#This Row],[Date]], "mmm")</f>
        <v>Apr</v>
      </c>
      <c r="I154" s="2" t="s">
        <v>339</v>
      </c>
    </row>
    <row r="155" spans="1:9" x14ac:dyDescent="0.45">
      <c r="A155">
        <f>MONTH(Budget3[[#This Row],[Date]])</f>
        <v>4</v>
      </c>
      <c r="B155" s="1">
        <v>45775</v>
      </c>
      <c r="C155" s="1" t="s">
        <v>166</v>
      </c>
      <c r="D155" s="1" t="s">
        <v>130</v>
      </c>
      <c r="F155" s="2">
        <v>13</v>
      </c>
      <c r="G155" s="2">
        <f>SUM(G154+Budget3[[#This Row],[Income]]-Budget3[[#This Row],[Credit]])</f>
        <v>-5032.6500000000015</v>
      </c>
      <c r="H155" s="2" t="str">
        <f>TEXT(Budget3[[#This Row],[Date]], "mmm")</f>
        <v>Apr</v>
      </c>
      <c r="I155" s="2" t="s">
        <v>342</v>
      </c>
    </row>
    <row r="156" spans="1:9" x14ac:dyDescent="0.45">
      <c r="A156">
        <f>MONTH(Budget3[[#This Row],[Date]])</f>
        <v>4</v>
      </c>
      <c r="B156" s="1">
        <v>45775</v>
      </c>
      <c r="C156" s="1" t="s">
        <v>166</v>
      </c>
      <c r="D156" s="1" t="s">
        <v>130</v>
      </c>
      <c r="F156" s="2">
        <v>13</v>
      </c>
      <c r="G156" s="2">
        <f>SUM(G155+Budget3[[#This Row],[Income]]-Budget3[[#This Row],[Credit]])</f>
        <v>-5045.6500000000015</v>
      </c>
      <c r="H156" s="2" t="str">
        <f>TEXT(Budget3[[#This Row],[Date]], "mmm")</f>
        <v>Apr</v>
      </c>
      <c r="I156" s="2" t="s">
        <v>342</v>
      </c>
    </row>
    <row r="157" spans="1:9" x14ac:dyDescent="0.45">
      <c r="A157">
        <f>MONTH(Budget3[[#This Row],[Date]])</f>
        <v>4</v>
      </c>
      <c r="B157" s="1">
        <v>45776</v>
      </c>
      <c r="C157" s="1" t="s">
        <v>18</v>
      </c>
      <c r="D157" s="1" t="s">
        <v>16</v>
      </c>
      <c r="F157" s="2">
        <v>50.3</v>
      </c>
      <c r="G157" s="2">
        <f>SUM(G156+Budget3[[#This Row],[Income]]-Budget3[[#This Row],[Credit]])</f>
        <v>-5095.9500000000016</v>
      </c>
      <c r="H157" s="2" t="str">
        <f>TEXT(Budget3[[#This Row],[Date]], "mmm")</f>
        <v>Apr</v>
      </c>
      <c r="I157" s="2" t="s">
        <v>16</v>
      </c>
    </row>
    <row r="158" spans="1:9" x14ac:dyDescent="0.45">
      <c r="A158">
        <f>MONTH(Budget3[[#This Row],[Date]])</f>
        <v>4</v>
      </c>
      <c r="B158" s="1">
        <v>45777</v>
      </c>
      <c r="C158" s="1" t="s">
        <v>167</v>
      </c>
      <c r="D158" s="1" t="s">
        <v>39</v>
      </c>
      <c r="F158" s="2">
        <v>10.8</v>
      </c>
      <c r="G158" s="2">
        <f>SUM(G157+Budget3[[#This Row],[Income]]-Budget3[[#This Row],[Credit]])</f>
        <v>-5106.7500000000018</v>
      </c>
      <c r="H158" s="2" t="str">
        <f>TEXT(Budget3[[#This Row],[Date]], "mmm")</f>
        <v>Apr</v>
      </c>
      <c r="I158" s="2" t="s">
        <v>339</v>
      </c>
    </row>
    <row r="159" spans="1:9" x14ac:dyDescent="0.45">
      <c r="A159">
        <f>MONTH(Budget3[[#This Row],[Date]])</f>
        <v>4</v>
      </c>
      <c r="B159" s="1">
        <v>45777</v>
      </c>
      <c r="C159" s="1" t="s">
        <v>168</v>
      </c>
      <c r="D159" s="1" t="s">
        <v>39</v>
      </c>
      <c r="F159" s="2">
        <v>55.27</v>
      </c>
      <c r="G159" s="2">
        <f>SUM(G158+Budget3[[#This Row],[Income]]-Budget3[[#This Row],[Credit]])</f>
        <v>-5162.0200000000023</v>
      </c>
      <c r="H159" s="2" t="str">
        <f>TEXT(Budget3[[#This Row],[Date]], "mmm")</f>
        <v>Apr</v>
      </c>
      <c r="I159" s="2" t="s">
        <v>339</v>
      </c>
    </row>
    <row r="160" spans="1:9" x14ac:dyDescent="0.45">
      <c r="A160">
        <f>MONTH(Budget3[[#This Row],[Date]])</f>
        <v>4</v>
      </c>
      <c r="B160" s="1">
        <v>45765</v>
      </c>
      <c r="C160" s="1" t="s">
        <v>169</v>
      </c>
      <c r="D160" s="1" t="s">
        <v>39</v>
      </c>
      <c r="F160" s="2">
        <v>16.54</v>
      </c>
      <c r="G160" s="2">
        <f>SUM(G159+Budget3[[#This Row],[Income]]-Budget3[[#This Row],[Credit]])</f>
        <v>-5178.5600000000022</v>
      </c>
      <c r="H160" s="2" t="str">
        <f>TEXT(Budget3[[#This Row],[Date]], "mmm")</f>
        <v>Apr</v>
      </c>
      <c r="I160" s="2" t="s">
        <v>339</v>
      </c>
    </row>
    <row r="161" spans="1:9" x14ac:dyDescent="0.45">
      <c r="A161">
        <f>MONTH(Budget3[[#This Row],[Date]])</f>
        <v>4</v>
      </c>
      <c r="B161" s="1">
        <v>45777</v>
      </c>
      <c r="C161" s="1" t="s">
        <v>32</v>
      </c>
      <c r="D161" s="1" t="s">
        <v>35</v>
      </c>
      <c r="F161" s="11">
        <v>27</v>
      </c>
      <c r="G161" s="2">
        <f>SUM(G160+Budget3[[#This Row],[Income]]-Budget3[[#This Row],[Credit]])</f>
        <v>-5205.5600000000022</v>
      </c>
      <c r="H161" s="2" t="str">
        <f>TEXT(Budget3[[#This Row],[Date]], "mmm")</f>
        <v>Apr</v>
      </c>
      <c r="I161" s="2" t="s">
        <v>9</v>
      </c>
    </row>
    <row r="162" spans="1:9" ht="14.65" thickBot="1" x14ac:dyDescent="0.5">
      <c r="A162" s="27">
        <f>MONTH(Budget3[[#This Row],[Date]])</f>
        <v>4</v>
      </c>
      <c r="B162" s="28">
        <v>45772</v>
      </c>
      <c r="C162" s="28" t="s">
        <v>170</v>
      </c>
      <c r="D162" s="28" t="s">
        <v>100</v>
      </c>
      <c r="E162" s="29">
        <v>-58</v>
      </c>
      <c r="F162" s="29"/>
      <c r="G162" s="29">
        <f>SUM(G160+Budget3[[#This Row],[Income]]-Budget3[[#This Row],[Credit]])</f>
        <v>-5236.5600000000022</v>
      </c>
      <c r="H162" s="2" t="str">
        <f>TEXT(Budget3[[#This Row],[Date]], "mmm")</f>
        <v>Apr</v>
      </c>
      <c r="I162" s="2" t="s">
        <v>100</v>
      </c>
    </row>
    <row r="163" spans="1:9" ht="14.65" thickTop="1" x14ac:dyDescent="0.45">
      <c r="A163">
        <f>MONTH(Budget3[[#This Row],[Date]])</f>
        <v>5</v>
      </c>
      <c r="B163" s="1">
        <v>45778</v>
      </c>
      <c r="C163" s="1" t="s">
        <v>17</v>
      </c>
      <c r="D163" s="1" t="s">
        <v>4</v>
      </c>
      <c r="E163" s="2">
        <v>672.55</v>
      </c>
      <c r="G163" s="2">
        <f>SUM(G162+Budget3[[#This Row],[Income]]-Budget3[[#This Row],[Credit]])</f>
        <v>-4564.010000000002</v>
      </c>
      <c r="H163" s="2" t="str">
        <f>TEXT(Budget3[[#This Row],[Date]], "mmm")</f>
        <v>May</v>
      </c>
      <c r="I163" s="2" t="str">
        <f>IF(ISNUMBER(SEARCH("income", Budget3[[#This Row],[Category]])), "Income", "")</f>
        <v>Income</v>
      </c>
    </row>
    <row r="164" spans="1:9" x14ac:dyDescent="0.45">
      <c r="A164">
        <f>MONTH(Budget3[[#This Row],[Date]])</f>
        <v>5</v>
      </c>
      <c r="B164" s="1">
        <v>45780</v>
      </c>
      <c r="C164" t="s">
        <v>349</v>
      </c>
      <c r="D164" s="1" t="s">
        <v>29</v>
      </c>
      <c r="F164" s="50">
        <v>608.54999999999995</v>
      </c>
      <c r="G164" s="2">
        <f>SUM(G163+Budget3[[#This Row],[Income]]-Budget3[[#This Row],[Credit]])</f>
        <v>-5172.5600000000022</v>
      </c>
      <c r="H164" s="2" t="str">
        <f>TEXT(Budget3[[#This Row],[Date]], "mmm")</f>
        <v>May</v>
      </c>
      <c r="I164" s="2" t="s">
        <v>29</v>
      </c>
    </row>
    <row r="165" spans="1:9" x14ac:dyDescent="0.45">
      <c r="A165">
        <f>MONTH(Budget3[[#This Row],[Date]])</f>
        <v>5</v>
      </c>
      <c r="B165" s="1">
        <v>45779</v>
      </c>
      <c r="C165" s="1" t="s">
        <v>171</v>
      </c>
      <c r="D165" s="1" t="s">
        <v>39</v>
      </c>
      <c r="F165" s="2">
        <v>9.74</v>
      </c>
      <c r="G165" s="2">
        <f>SUM(G164+Budget3[[#This Row],[Income]]-Budget3[[#This Row],[Credit]])</f>
        <v>-5182.300000000002</v>
      </c>
      <c r="H165" s="2" t="str">
        <f>TEXT(Budget3[[#This Row],[Date]], "mmm")</f>
        <v>May</v>
      </c>
      <c r="I165" s="2" t="s">
        <v>339</v>
      </c>
    </row>
    <row r="166" spans="1:9" x14ac:dyDescent="0.45">
      <c r="A166">
        <f>MONTH(Budget3[[#This Row],[Date]])</f>
        <v>5</v>
      </c>
      <c r="B166" s="1">
        <v>45781</v>
      </c>
      <c r="C166" s="1" t="s">
        <v>74</v>
      </c>
      <c r="D166" s="1" t="s">
        <v>13</v>
      </c>
      <c r="F166" s="2">
        <v>37.880000000000003</v>
      </c>
      <c r="G166" s="2">
        <f>SUM(G165+Budget3[[#This Row],[Income]]-Budget3[[#This Row],[Credit]])</f>
        <v>-5220.1800000000021</v>
      </c>
      <c r="H166" s="2" t="str">
        <f>TEXT(Budget3[[#This Row],[Date]], "mmm")</f>
        <v>May</v>
      </c>
      <c r="I166" s="2" t="s">
        <v>13</v>
      </c>
    </row>
    <row r="167" spans="1:9" x14ac:dyDescent="0.45">
      <c r="A167">
        <f>MONTH(Budget3[[#This Row],[Date]])</f>
        <v>5</v>
      </c>
      <c r="B167" s="1">
        <v>45782</v>
      </c>
      <c r="C167" s="1" t="s">
        <v>73</v>
      </c>
      <c r="D167" s="1" t="s">
        <v>39</v>
      </c>
      <c r="F167" s="2">
        <v>9.15</v>
      </c>
      <c r="G167" s="2">
        <f>SUM(G166+Budget3[[#This Row],[Income]]-Budget3[[#This Row],[Credit]])</f>
        <v>-5229.3300000000017</v>
      </c>
      <c r="H167" s="2" t="str">
        <f>TEXT(Budget3[[#This Row],[Date]], "mmm")</f>
        <v>May</v>
      </c>
      <c r="I167" s="2" t="s">
        <v>339</v>
      </c>
    </row>
    <row r="168" spans="1:9" x14ac:dyDescent="0.45">
      <c r="A168">
        <f>MONTH(Budget3[[#This Row],[Date]])</f>
        <v>5</v>
      </c>
      <c r="B168" s="1">
        <v>45782</v>
      </c>
      <c r="C168" s="1" t="s">
        <v>120</v>
      </c>
      <c r="D168" s="1" t="s">
        <v>130</v>
      </c>
      <c r="F168" s="2">
        <v>1.07</v>
      </c>
      <c r="G168" s="2">
        <f>SUM(G167+Budget3[[#This Row],[Income]]-Budget3[[#This Row],[Credit]])</f>
        <v>-5230.4000000000015</v>
      </c>
      <c r="H168" s="2" t="str">
        <f>TEXT(Budget3[[#This Row],[Date]], "mmm")</f>
        <v>May</v>
      </c>
      <c r="I168" s="2" t="s">
        <v>344</v>
      </c>
    </row>
    <row r="169" spans="1:9" x14ac:dyDescent="0.45">
      <c r="A169">
        <f>MONTH(Budget3[[#This Row],[Date]])</f>
        <v>5</v>
      </c>
      <c r="B169" s="1">
        <v>45781</v>
      </c>
      <c r="C169" s="1" t="s">
        <v>150</v>
      </c>
      <c r="D169" s="1" t="s">
        <v>4</v>
      </c>
      <c r="E169" s="2">
        <v>20</v>
      </c>
      <c r="G169" s="2">
        <f>SUM(G168+Budget3[[#This Row],[Income]]-Budget3[[#This Row],[Credit]])</f>
        <v>-5210.4000000000015</v>
      </c>
      <c r="H169" s="2" t="str">
        <f>TEXT(Budget3[[#This Row],[Date]], "mmm")</f>
        <v>May</v>
      </c>
      <c r="I169" s="2" t="s">
        <v>346</v>
      </c>
    </row>
    <row r="170" spans="1:9" x14ac:dyDescent="0.45">
      <c r="A170">
        <f>MONTH(Budget3[[#This Row],[Date]])</f>
        <v>5</v>
      </c>
      <c r="B170" s="1">
        <v>45785</v>
      </c>
      <c r="C170" s="1" t="s">
        <v>129</v>
      </c>
      <c r="D170" s="1" t="s">
        <v>100</v>
      </c>
      <c r="E170" s="2">
        <v>-107</v>
      </c>
      <c r="G170" s="2">
        <f>SUM(G169+Budget3[[#This Row],[Income]]-Budget3[[#This Row],[Credit]])</f>
        <v>-5317.4000000000015</v>
      </c>
      <c r="H170" s="2" t="str">
        <f>TEXT(Budget3[[#This Row],[Date]], "mmm")</f>
        <v>May</v>
      </c>
      <c r="I170" s="2" t="s">
        <v>100</v>
      </c>
    </row>
    <row r="171" spans="1:9" x14ac:dyDescent="0.45">
      <c r="A171">
        <f>MONTH(Budget3[[#This Row],[Date]])</f>
        <v>5</v>
      </c>
      <c r="B171" s="1">
        <v>45784</v>
      </c>
      <c r="C171" s="1" t="s">
        <v>212</v>
      </c>
      <c r="D171" s="1" t="s">
        <v>39</v>
      </c>
      <c r="F171" s="2">
        <v>11.1</v>
      </c>
      <c r="G171" s="2">
        <f>SUM(G170+Budget3[[#This Row],[Income]]-Budget3[[#This Row],[Credit]])</f>
        <v>-5328.5000000000018</v>
      </c>
      <c r="H171" s="2" t="str">
        <f>TEXT(Budget3[[#This Row],[Date]], "mmm")</f>
        <v>May</v>
      </c>
      <c r="I171" s="2" t="s">
        <v>339</v>
      </c>
    </row>
    <row r="172" spans="1:9" x14ac:dyDescent="0.45">
      <c r="A172">
        <f>MONTH(Budget3[[#This Row],[Date]])</f>
        <v>5</v>
      </c>
      <c r="B172" s="1">
        <v>45785</v>
      </c>
      <c r="C172" s="1" t="s">
        <v>12</v>
      </c>
      <c r="D172" s="1" t="s">
        <v>13</v>
      </c>
      <c r="F172" s="2">
        <v>17.12</v>
      </c>
      <c r="G172" s="2">
        <f>SUM(G171+Budget3[[#This Row],[Income]]-Budget3[[#This Row],[Credit]])</f>
        <v>-5345.6200000000017</v>
      </c>
      <c r="H172" s="2" t="str">
        <f>TEXT(Budget3[[#This Row],[Date]], "mmm")</f>
        <v>May</v>
      </c>
      <c r="I172" s="2" t="s">
        <v>13</v>
      </c>
    </row>
    <row r="173" spans="1:9" x14ac:dyDescent="0.45">
      <c r="A173">
        <f>MONTH(Budget3[[#This Row],[Date]])</f>
        <v>5</v>
      </c>
      <c r="B173" s="1">
        <v>45785</v>
      </c>
      <c r="C173" s="1" t="s">
        <v>18</v>
      </c>
      <c r="D173" s="1" t="s">
        <v>13</v>
      </c>
      <c r="F173" s="2">
        <v>48.3</v>
      </c>
      <c r="G173" s="2">
        <f>SUM(G172+Budget3[[#This Row],[Income]]-Budget3[[#This Row],[Credit]])</f>
        <v>-5393.9200000000019</v>
      </c>
      <c r="H173" s="2" t="str">
        <f>TEXT(Budget3[[#This Row],[Date]], "mmm")</f>
        <v>May</v>
      </c>
      <c r="I173" s="2" t="s">
        <v>13</v>
      </c>
    </row>
    <row r="174" spans="1:9" x14ac:dyDescent="0.45">
      <c r="A174">
        <f>MONTH(Budget3[[#This Row],[Date]])</f>
        <v>5</v>
      </c>
      <c r="B174" s="1">
        <v>45792</v>
      </c>
      <c r="C174" s="1" t="s">
        <v>92</v>
      </c>
      <c r="D174" s="1" t="s">
        <v>130</v>
      </c>
      <c r="F174" s="2">
        <v>21.64</v>
      </c>
      <c r="G174" s="2">
        <f>SUM(G173+Budget3[[#This Row],[Income]]-Budget3[[#This Row],[Credit]])</f>
        <v>-5415.5600000000022</v>
      </c>
      <c r="H174" s="2" t="str">
        <f>TEXT(Budget3[[#This Row],[Date]], "mmm")</f>
        <v>May</v>
      </c>
      <c r="I174" s="2" t="s">
        <v>344</v>
      </c>
    </row>
    <row r="175" spans="1:9" x14ac:dyDescent="0.45">
      <c r="A175">
        <f>MONTH(Budget3[[#This Row],[Date]])</f>
        <v>5</v>
      </c>
      <c r="B175" s="1">
        <v>45792</v>
      </c>
      <c r="C175" s="1" t="s">
        <v>17</v>
      </c>
      <c r="D175" s="1" t="s">
        <v>4</v>
      </c>
      <c r="E175" s="2">
        <v>651.53</v>
      </c>
      <c r="G175" s="2">
        <f>SUM(G174+Budget3[[#This Row],[Income]]-Budget3[[#This Row],[Credit]])</f>
        <v>-4764.0300000000025</v>
      </c>
      <c r="H175" s="2" t="str">
        <f>TEXT(Budget3[[#This Row],[Date]], "mmm")</f>
        <v>May</v>
      </c>
      <c r="I175" s="2" t="str">
        <f>IF(ISNUMBER(SEARCH("income", Budget3[[#This Row],[Category]])), "Income", "")</f>
        <v>Income</v>
      </c>
    </row>
    <row r="176" spans="1:9" x14ac:dyDescent="0.45">
      <c r="A176">
        <f>MONTH(Budget3[[#This Row],[Date]])</f>
        <v>5</v>
      </c>
      <c r="B176" s="1">
        <v>45795</v>
      </c>
      <c r="C176" t="s">
        <v>349</v>
      </c>
      <c r="D176" s="1" t="s">
        <v>29</v>
      </c>
      <c r="F176" s="50">
        <v>156</v>
      </c>
      <c r="G176" s="2">
        <f>SUM(G175+Budget3[[#This Row],[Income]]-Budget3[[#This Row],[Credit]])</f>
        <v>-4920.0300000000025</v>
      </c>
      <c r="H176" s="2" t="str">
        <f>TEXT(Budget3[[#This Row],[Date]], "mmm")</f>
        <v>May</v>
      </c>
      <c r="I176" s="2" t="s">
        <v>29</v>
      </c>
    </row>
    <row r="177" spans="1:9" x14ac:dyDescent="0.45">
      <c r="A177">
        <f>MONTH(Budget3[[#This Row],[Date]])</f>
        <v>5</v>
      </c>
      <c r="B177" s="1">
        <v>45795</v>
      </c>
      <c r="C177" t="s">
        <v>8</v>
      </c>
      <c r="D177" t="s">
        <v>9</v>
      </c>
      <c r="F177" s="11">
        <v>250</v>
      </c>
      <c r="G177" s="2">
        <f>SUM(G176+Budget3[[#This Row],[Income]]-Budget3[[#This Row],[Credit]])</f>
        <v>-5170.0300000000025</v>
      </c>
      <c r="H177" s="2" t="str">
        <f>TEXT(Budget3[[#This Row],[Date]], "mmm")</f>
        <v>May</v>
      </c>
      <c r="I177" s="2" t="s">
        <v>9</v>
      </c>
    </row>
    <row r="178" spans="1:9" x14ac:dyDescent="0.45">
      <c r="A178">
        <f>MONTH(Budget3[[#This Row],[Date]])</f>
        <v>5</v>
      </c>
      <c r="B178" s="1">
        <v>45792</v>
      </c>
      <c r="C178" s="1" t="s">
        <v>161</v>
      </c>
      <c r="D178" s="1" t="s">
        <v>13</v>
      </c>
      <c r="F178" s="2">
        <v>10.28</v>
      </c>
      <c r="G178" s="2">
        <f>SUM(G177+Budget3[[#This Row],[Income]]-Budget3[[#This Row],[Credit]])</f>
        <v>-5180.3100000000022</v>
      </c>
      <c r="H178" s="2" t="str">
        <f>TEXT(Budget3[[#This Row],[Date]], "mmm")</f>
        <v>May</v>
      </c>
      <c r="I178" s="2" t="s">
        <v>13</v>
      </c>
    </row>
    <row r="179" spans="1:9" x14ac:dyDescent="0.45">
      <c r="A179">
        <f>MONTH(Budget3[[#This Row],[Date]])</f>
        <v>5</v>
      </c>
      <c r="B179" s="1">
        <v>45793</v>
      </c>
      <c r="C179" s="1" t="s">
        <v>78</v>
      </c>
      <c r="D179" s="1" t="s">
        <v>130</v>
      </c>
      <c r="F179" s="2">
        <v>108.24</v>
      </c>
      <c r="G179" s="2">
        <f>SUM(G178+Budget3[[#This Row],[Income]]-Budget3[[#This Row],[Credit]])</f>
        <v>-5288.550000000002</v>
      </c>
      <c r="H179" s="2" t="str">
        <f>TEXT(Budget3[[#This Row],[Date]], "mmm")</f>
        <v>May</v>
      </c>
      <c r="I179" s="2" t="s">
        <v>312</v>
      </c>
    </row>
    <row r="180" spans="1:9" x14ac:dyDescent="0.45">
      <c r="A180">
        <f>MONTH(Budget3[[#This Row],[Date]])</f>
        <v>5</v>
      </c>
      <c r="B180" s="1">
        <v>45793</v>
      </c>
      <c r="C180" s="1" t="s">
        <v>213</v>
      </c>
      <c r="D180" s="1" t="s">
        <v>39</v>
      </c>
      <c r="F180" s="2">
        <v>47.23</v>
      </c>
      <c r="G180" s="2">
        <f>SUM(G179+Budget3[[#This Row],[Income]]-Budget3[[#This Row],[Credit]])</f>
        <v>-5335.7800000000016</v>
      </c>
      <c r="H180" s="2" t="str">
        <f>TEXT(Budget3[[#This Row],[Date]], "mmm")</f>
        <v>May</v>
      </c>
      <c r="I180" s="2" t="s">
        <v>339</v>
      </c>
    </row>
    <row r="181" spans="1:9" x14ac:dyDescent="0.45">
      <c r="A181">
        <f>MONTH(Budget3[[#This Row],[Date]])</f>
        <v>5</v>
      </c>
      <c r="B181" s="1">
        <v>45795</v>
      </c>
      <c r="C181" s="1" t="s">
        <v>120</v>
      </c>
      <c r="D181" s="1" t="s">
        <v>130</v>
      </c>
      <c r="F181" s="2">
        <v>1.07</v>
      </c>
      <c r="G181" s="2">
        <f>SUM(G180+Budget3[[#This Row],[Income]]-Budget3[[#This Row],[Credit]])</f>
        <v>-5336.8500000000013</v>
      </c>
      <c r="H181" s="2" t="str">
        <f>TEXT(Budget3[[#This Row],[Date]], "mmm")</f>
        <v>May</v>
      </c>
      <c r="I181" s="2" t="s">
        <v>344</v>
      </c>
    </row>
    <row r="182" spans="1:9" x14ac:dyDescent="0.45">
      <c r="A182">
        <f>MONTH(Budget3[[#This Row],[Date]])</f>
        <v>5</v>
      </c>
      <c r="B182" s="1">
        <v>45794</v>
      </c>
      <c r="C182" s="1" t="s">
        <v>18</v>
      </c>
      <c r="D182" s="1" t="s">
        <v>16</v>
      </c>
      <c r="F182" s="2">
        <v>47.57</v>
      </c>
      <c r="G182" s="2">
        <f>SUM(G181+Budget3[[#This Row],[Income]]-Budget3[[#This Row],[Credit]])</f>
        <v>-5384.420000000001</v>
      </c>
      <c r="H182" s="2" t="str">
        <f>TEXT(Budget3[[#This Row],[Date]], "mmm")</f>
        <v>May</v>
      </c>
      <c r="I182" s="2" t="s">
        <v>16</v>
      </c>
    </row>
    <row r="183" spans="1:9" x14ac:dyDescent="0.45">
      <c r="A183">
        <f>MONTH(Budget3[[#This Row],[Date]])</f>
        <v>5</v>
      </c>
      <c r="B183" s="1">
        <v>45799</v>
      </c>
      <c r="C183" s="1" t="s">
        <v>214</v>
      </c>
      <c r="D183" s="1" t="s">
        <v>39</v>
      </c>
      <c r="F183" s="2">
        <v>9.74</v>
      </c>
      <c r="G183" s="2">
        <f>SUM(G182+Budget3[[#This Row],[Income]]-Budget3[[#This Row],[Credit]])</f>
        <v>-5394.1600000000008</v>
      </c>
      <c r="H183" s="2" t="str">
        <f>TEXT(Budget3[[#This Row],[Date]], "mmm")</f>
        <v>May</v>
      </c>
      <c r="I183" s="2" t="s">
        <v>339</v>
      </c>
    </row>
    <row r="184" spans="1:9" x14ac:dyDescent="0.45">
      <c r="A184">
        <f>MONTH(Budget3[[#This Row],[Date]])</f>
        <v>5</v>
      </c>
      <c r="B184" s="1">
        <v>45800</v>
      </c>
      <c r="C184" s="1" t="s">
        <v>215</v>
      </c>
      <c r="D184" s="1" t="s">
        <v>13</v>
      </c>
      <c r="F184" s="2">
        <v>257.5</v>
      </c>
      <c r="G184" s="2">
        <f>SUM(G183+Budget3[[#This Row],[Income]]-Budget3[[#This Row],[Credit]])</f>
        <v>-5651.6600000000008</v>
      </c>
      <c r="H184" s="2" t="str">
        <f>TEXT(Budget3[[#This Row],[Date]], "mmm")</f>
        <v>May</v>
      </c>
      <c r="I184" s="2" t="s">
        <v>13</v>
      </c>
    </row>
    <row r="185" spans="1:9" x14ac:dyDescent="0.45">
      <c r="A185">
        <f>MONTH(Budget3[[#This Row],[Date]])</f>
        <v>5</v>
      </c>
      <c r="B185" s="1">
        <v>45800</v>
      </c>
      <c r="C185" s="1" t="s">
        <v>163</v>
      </c>
      <c r="D185" s="1" t="s">
        <v>39</v>
      </c>
      <c r="F185" s="2">
        <v>18.600000000000001</v>
      </c>
      <c r="G185" s="2">
        <f>SUM(G184+Budget3[[#This Row],[Income]]-Budget3[[#This Row],[Credit]])</f>
        <v>-5670.2600000000011</v>
      </c>
      <c r="H185" s="2" t="str">
        <f>TEXT(Budget3[[#This Row],[Date]], "mmm")</f>
        <v>May</v>
      </c>
      <c r="I185" s="2" t="s">
        <v>339</v>
      </c>
    </row>
    <row r="186" spans="1:9" x14ac:dyDescent="0.45">
      <c r="A186">
        <f>MONTH(Budget3[[#This Row],[Date]])</f>
        <v>5</v>
      </c>
      <c r="B186" s="1">
        <v>45802</v>
      </c>
      <c r="C186" s="1" t="s">
        <v>120</v>
      </c>
      <c r="D186" s="1" t="s">
        <v>130</v>
      </c>
      <c r="F186" s="2">
        <v>1.07</v>
      </c>
      <c r="G186" s="2">
        <f>SUM(G185+Budget3[[#This Row],[Income]]-Budget3[[#This Row],[Credit]])</f>
        <v>-5671.3300000000008</v>
      </c>
      <c r="H186" s="2" t="str">
        <f>TEXT(Budget3[[#This Row],[Date]], "mmm")</f>
        <v>May</v>
      </c>
      <c r="I186" s="2" t="s">
        <v>344</v>
      </c>
    </row>
    <row r="187" spans="1:9" x14ac:dyDescent="0.45">
      <c r="A187">
        <f>MONTH(Budget3[[#This Row],[Date]])</f>
        <v>5</v>
      </c>
      <c r="B187" s="1">
        <v>45804</v>
      </c>
      <c r="C187" s="1" t="s">
        <v>216</v>
      </c>
      <c r="D187" s="1" t="s">
        <v>13</v>
      </c>
      <c r="F187" s="2">
        <v>39.71</v>
      </c>
      <c r="G187" s="2">
        <f>SUM(G186+Budget3[[#This Row],[Income]]-Budget3[[#This Row],[Credit]])</f>
        <v>-5711.0400000000009</v>
      </c>
      <c r="H187" s="2" t="str">
        <f>TEXT(Budget3[[#This Row],[Date]], "mmm")</f>
        <v>May</v>
      </c>
      <c r="I187" s="2" t="s">
        <v>13</v>
      </c>
    </row>
    <row r="188" spans="1:9" x14ac:dyDescent="0.45">
      <c r="A188">
        <f>MONTH(Budget3[[#This Row],[Date]])</f>
        <v>5</v>
      </c>
      <c r="B188" s="1">
        <v>45806</v>
      </c>
      <c r="C188" s="1" t="s">
        <v>217</v>
      </c>
      <c r="D188" s="1" t="s">
        <v>13</v>
      </c>
      <c r="F188" s="2">
        <v>44.23</v>
      </c>
      <c r="G188" s="2">
        <f>SUM(G187+Budget3[[#This Row],[Income]]-Budget3[[#This Row],[Credit]])</f>
        <v>-5755.27</v>
      </c>
      <c r="H188" s="2" t="str">
        <f>TEXT(Budget3[[#This Row],[Date]], "mmm")</f>
        <v>May</v>
      </c>
      <c r="I188" s="2" t="s">
        <v>13</v>
      </c>
    </row>
    <row r="189" spans="1:9" x14ac:dyDescent="0.45">
      <c r="A189">
        <f>MONTH(Budget3[[#This Row],[Date]])</f>
        <v>5</v>
      </c>
      <c r="B189" s="1">
        <v>45807</v>
      </c>
      <c r="C189" s="1" t="s">
        <v>218</v>
      </c>
      <c r="D189" s="1" t="s">
        <v>13</v>
      </c>
      <c r="F189" s="2">
        <v>42.1</v>
      </c>
      <c r="G189" s="2">
        <f>SUM(G188+Budget3[[#This Row],[Income]]-Budget3[[#This Row],[Credit]])</f>
        <v>-5797.3700000000008</v>
      </c>
      <c r="H189" s="2" t="str">
        <f>TEXT(Budget3[[#This Row],[Date]], "mmm")</f>
        <v>May</v>
      </c>
      <c r="I189" s="2" t="s">
        <v>13</v>
      </c>
    </row>
    <row r="190" spans="1:9" x14ac:dyDescent="0.45">
      <c r="A190">
        <f>MONTH(Budget3[[#This Row],[Date]])</f>
        <v>5</v>
      </c>
      <c r="B190" s="1">
        <v>45808</v>
      </c>
      <c r="C190" s="1" t="s">
        <v>219</v>
      </c>
      <c r="D190" s="1" t="s">
        <v>13</v>
      </c>
      <c r="F190" s="2">
        <v>155.94</v>
      </c>
      <c r="G190" s="2">
        <f>SUM(G189+Budget3[[#This Row],[Income]]-Budget3[[#This Row],[Credit]])</f>
        <v>-5953.31</v>
      </c>
      <c r="H190" s="2" t="str">
        <f>TEXT(Budget3[[#This Row],[Date]], "mmm")</f>
        <v>May</v>
      </c>
      <c r="I190" s="2" t="s">
        <v>13</v>
      </c>
    </row>
    <row r="191" spans="1:9" x14ac:dyDescent="0.45">
      <c r="A191">
        <f>MONTH(Budget3[[#This Row],[Date]])</f>
        <v>5</v>
      </c>
      <c r="B191" s="1">
        <v>45806</v>
      </c>
      <c r="C191" s="1" t="s">
        <v>17</v>
      </c>
      <c r="D191" s="1" t="s">
        <v>4</v>
      </c>
      <c r="E191" s="2">
        <v>520.69000000000005</v>
      </c>
      <c r="G191" s="2">
        <f>SUM(G190+Budget3[[#This Row],[Income]]-Budget3[[#This Row],[Credit]])</f>
        <v>-5432.6200000000008</v>
      </c>
      <c r="H191" s="2" t="str">
        <f>TEXT(Budget3[[#This Row],[Date]], "mmm")</f>
        <v>May</v>
      </c>
      <c r="I191" s="2" t="str">
        <f>IF(ISNUMBER(SEARCH("income", Budget3[[#This Row],[Category]])), "Income", "")</f>
        <v>Income</v>
      </c>
    </row>
    <row r="192" spans="1:9" ht="14.65" thickBot="1" x14ac:dyDescent="0.5">
      <c r="A192" s="27">
        <f>MONTH(Budget3[[#This Row],[Date]])</f>
        <v>5</v>
      </c>
      <c r="B192" s="28">
        <v>45808</v>
      </c>
      <c r="C192" s="28" t="s">
        <v>32</v>
      </c>
      <c r="D192" s="28" t="s">
        <v>35</v>
      </c>
      <c r="E192" s="29"/>
      <c r="F192" s="30">
        <v>28.01</v>
      </c>
      <c r="G192" s="29">
        <f>SUM(G191+Budget3[[#This Row],[Income]]-Budget3[[#This Row],[Credit]])</f>
        <v>-5460.630000000001</v>
      </c>
      <c r="H192" s="2" t="str">
        <f>TEXT(Budget3[[#This Row],[Date]], "mmm")</f>
        <v>May</v>
      </c>
      <c r="I192" s="2" t="s">
        <v>9</v>
      </c>
    </row>
    <row r="193" spans="1:9" ht="14.65" thickTop="1" x14ac:dyDescent="0.45">
      <c r="A193">
        <f>MONTH(Budget3[[#This Row],[Date]])</f>
        <v>6</v>
      </c>
      <c r="B193" s="1">
        <v>45810</v>
      </c>
      <c r="C193" s="1" t="s">
        <v>105</v>
      </c>
      <c r="D193" s="1" t="s">
        <v>100</v>
      </c>
      <c r="E193" s="2">
        <v>-30</v>
      </c>
      <c r="G193" s="2">
        <f>SUM(G192+Budget3[[#This Row],[Income]]-Budget3[[#This Row],[Credit]])</f>
        <v>-5490.630000000001</v>
      </c>
      <c r="H193" s="2" t="str">
        <f>TEXT(Budget3[[#This Row],[Date]], "mmm")</f>
        <v>Jun</v>
      </c>
      <c r="I193" s="2" t="s">
        <v>100</v>
      </c>
    </row>
    <row r="194" spans="1:9" x14ac:dyDescent="0.45">
      <c r="A194">
        <f>MONTH(Budget3[[#This Row],[Date]])</f>
        <v>6</v>
      </c>
      <c r="B194" s="1">
        <v>45811</v>
      </c>
      <c r="C194" t="s">
        <v>349</v>
      </c>
      <c r="D194" s="1" t="s">
        <v>29</v>
      </c>
      <c r="F194" s="50">
        <v>783.28</v>
      </c>
      <c r="G194" s="2">
        <f>SUM(G193+Budget3[[#This Row],[Income]]-Budget3[[#This Row],[Credit]])</f>
        <v>-6273.9100000000008</v>
      </c>
      <c r="H194" s="2" t="str">
        <f>TEXT(Budget3[[#This Row],[Date]], "mmm")</f>
        <v>Jun</v>
      </c>
      <c r="I194" s="2" t="s">
        <v>29</v>
      </c>
    </row>
    <row r="195" spans="1:9" x14ac:dyDescent="0.45">
      <c r="A195">
        <f>MONTH(Budget3[[#This Row],[Date]])</f>
        <v>6</v>
      </c>
      <c r="B195" s="1">
        <v>45810</v>
      </c>
      <c r="C195" s="1" t="s">
        <v>224</v>
      </c>
      <c r="D195" s="1" t="s">
        <v>130</v>
      </c>
      <c r="F195" s="2">
        <v>85.14</v>
      </c>
      <c r="G195" s="2">
        <f>SUM(G194+Budget3[[#This Row],[Income]]-Budget3[[#This Row],[Credit]])</f>
        <v>-6359.0500000000011</v>
      </c>
      <c r="H195" s="2" t="str">
        <f>TEXT(Budget3[[#This Row],[Date]], "mmm")</f>
        <v>Jun</v>
      </c>
      <c r="I195" s="2" t="s">
        <v>342</v>
      </c>
    </row>
    <row r="196" spans="1:9" x14ac:dyDescent="0.45">
      <c r="A196">
        <f>MONTH(Budget3[[#This Row],[Date]])</f>
        <v>6</v>
      </c>
      <c r="B196" s="1">
        <v>45810</v>
      </c>
      <c r="C196" s="1" t="s">
        <v>18</v>
      </c>
      <c r="D196" s="1" t="s">
        <v>16</v>
      </c>
      <c r="F196" s="2">
        <v>32.11</v>
      </c>
      <c r="G196" s="2">
        <f>SUM(G194+Budget3[[#This Row],[Income]]-Budget3[[#This Row],[Credit]])</f>
        <v>-6306.02</v>
      </c>
      <c r="H196" s="2" t="str">
        <f>TEXT(Budget3[[#This Row],[Date]], "mmm")</f>
        <v>Jun</v>
      </c>
      <c r="I196" s="2" t="s">
        <v>16</v>
      </c>
    </row>
    <row r="197" spans="1:9" x14ac:dyDescent="0.45">
      <c r="A197">
        <f>MONTH(Budget3[[#This Row],[Date]])</f>
        <v>6</v>
      </c>
      <c r="B197" s="1">
        <v>45812</v>
      </c>
      <c r="C197" s="1" t="s">
        <v>59</v>
      </c>
      <c r="D197" s="1" t="s">
        <v>39</v>
      </c>
      <c r="F197" s="2">
        <v>6.26</v>
      </c>
      <c r="G197" s="2">
        <f>SUM(G194+Budget3[[#This Row],[Income]]-Budget3[[#This Row],[Credit]])</f>
        <v>-6280.170000000001</v>
      </c>
      <c r="H197" s="2" t="str">
        <f>TEXT(Budget3[[#This Row],[Date]], "mmm")</f>
        <v>Jun</v>
      </c>
      <c r="I197" s="2" t="s">
        <v>339</v>
      </c>
    </row>
    <row r="198" spans="1:9" x14ac:dyDescent="0.45">
      <c r="A198">
        <f>MONTH(Budget3[[#This Row],[Date]])</f>
        <v>6</v>
      </c>
      <c r="B198" s="1">
        <v>45814</v>
      </c>
      <c r="C198" s="1" t="s">
        <v>220</v>
      </c>
      <c r="D198" s="1" t="s">
        <v>130</v>
      </c>
      <c r="F198" s="2">
        <v>109.55</v>
      </c>
      <c r="G198" s="2">
        <f>SUM(G197+Budget3[[#This Row],[Income]]-Budget3[[#This Row],[Credit]])</f>
        <v>-6389.7200000000012</v>
      </c>
      <c r="H198" s="2" t="str">
        <f>TEXT(Budget3[[#This Row],[Date]], "mmm")</f>
        <v>Jun</v>
      </c>
      <c r="I198" s="2" t="s">
        <v>343</v>
      </c>
    </row>
    <row r="199" spans="1:9" x14ac:dyDescent="0.45">
      <c r="A199">
        <f>MONTH(Budget3[[#This Row],[Date]])</f>
        <v>6</v>
      </c>
      <c r="B199" s="1">
        <v>45814</v>
      </c>
      <c r="C199" s="1" t="s">
        <v>221</v>
      </c>
      <c r="D199" s="1" t="s">
        <v>39</v>
      </c>
      <c r="F199" s="2">
        <v>28.04</v>
      </c>
      <c r="G199" s="2">
        <f>SUM(G198+Budget3[[#This Row],[Income]]-Budget3[[#This Row],[Credit]])</f>
        <v>-6417.7600000000011</v>
      </c>
      <c r="H199" s="2" t="str">
        <f>TEXT(Budget3[[#This Row],[Date]], "mmm")</f>
        <v>Jun</v>
      </c>
      <c r="I199" s="2" t="s">
        <v>339</v>
      </c>
    </row>
    <row r="200" spans="1:9" x14ac:dyDescent="0.45">
      <c r="A200">
        <f>MONTH(Budget3[[#This Row],[Date]])</f>
        <v>6</v>
      </c>
      <c r="B200" s="1">
        <v>45814</v>
      </c>
      <c r="C200" s="1" t="s">
        <v>68</v>
      </c>
      <c r="D200" s="1" t="s">
        <v>130</v>
      </c>
      <c r="F200" s="2">
        <v>101.66</v>
      </c>
      <c r="G200" s="2">
        <f>SUM(G199+Budget3[[#This Row],[Income]]-Budget3[[#This Row],[Credit]])</f>
        <v>-6519.420000000001</v>
      </c>
      <c r="H200" s="2" t="str">
        <f>TEXT(Budget3[[#This Row],[Date]], "mmm")</f>
        <v>Jun</v>
      </c>
      <c r="I200" s="2" t="s">
        <v>312</v>
      </c>
    </row>
    <row r="201" spans="1:9" x14ac:dyDescent="0.45">
      <c r="A201">
        <f>MONTH(Budget3[[#This Row],[Date]])</f>
        <v>6</v>
      </c>
      <c r="B201" s="1">
        <v>45814</v>
      </c>
      <c r="C201" s="1" t="s">
        <v>222</v>
      </c>
      <c r="D201" s="1" t="s">
        <v>39</v>
      </c>
      <c r="F201" s="2">
        <v>34</v>
      </c>
      <c r="G201" s="2">
        <f>SUM(G200+Budget3[[#This Row],[Income]]-Budget3[[#This Row],[Credit]])</f>
        <v>-6553.420000000001</v>
      </c>
      <c r="H201" s="2" t="str">
        <f>TEXT(Budget3[[#This Row],[Date]], "mmm")</f>
        <v>Jun</v>
      </c>
      <c r="I201" s="2" t="s">
        <v>339</v>
      </c>
    </row>
    <row r="202" spans="1:9" x14ac:dyDescent="0.45">
      <c r="A202">
        <f>MONTH(Budget3[[#This Row],[Date]])</f>
        <v>6</v>
      </c>
      <c r="B202" s="1">
        <v>45817</v>
      </c>
      <c r="C202" s="1" t="s">
        <v>148</v>
      </c>
      <c r="D202" s="1" t="s">
        <v>130</v>
      </c>
      <c r="F202" s="2">
        <v>9.7200000000000006</v>
      </c>
      <c r="G202" s="2">
        <f>SUM(G201+Budget3[[#This Row],[Income]]-Budget3[[#This Row],[Credit]])</f>
        <v>-6563.1400000000012</v>
      </c>
      <c r="H202" s="2" t="str">
        <f>TEXT(Budget3[[#This Row],[Date]], "mmm")</f>
        <v>Jun</v>
      </c>
      <c r="I202" s="2" t="s">
        <v>312</v>
      </c>
    </row>
    <row r="203" spans="1:9" x14ac:dyDescent="0.45">
      <c r="A203">
        <f>MONTH(Budget3[[#This Row],[Date]])</f>
        <v>6</v>
      </c>
      <c r="B203" s="1">
        <v>45817</v>
      </c>
      <c r="C203" s="1" t="s">
        <v>78</v>
      </c>
      <c r="D203" s="1" t="s">
        <v>13</v>
      </c>
      <c r="F203" s="2">
        <v>16.23</v>
      </c>
      <c r="G203" s="2">
        <f>SUM(G202+Budget3[[#This Row],[Income]]-Budget3[[#This Row],[Credit]])</f>
        <v>-6579.3700000000008</v>
      </c>
      <c r="H203" s="2" t="str">
        <f>TEXT(Budget3[[#This Row],[Date]], "mmm")</f>
        <v>Jun</v>
      </c>
      <c r="I203" s="2" t="s">
        <v>13</v>
      </c>
    </row>
    <row r="204" spans="1:9" x14ac:dyDescent="0.45">
      <c r="A204">
        <f>MONTH(Budget3[[#This Row],[Date]])</f>
        <v>6</v>
      </c>
      <c r="B204" s="1">
        <v>45817</v>
      </c>
      <c r="C204" s="1" t="s">
        <v>78</v>
      </c>
      <c r="D204" s="1" t="s">
        <v>13</v>
      </c>
      <c r="F204" s="2">
        <v>10.81</v>
      </c>
      <c r="G204" s="2">
        <f>SUM(G203+Budget3[[#This Row],[Income]]-Budget3[[#This Row],[Credit]])</f>
        <v>-6590.1800000000012</v>
      </c>
      <c r="H204" s="2" t="str">
        <f>TEXT(Budget3[[#This Row],[Date]], "mmm")</f>
        <v>Jun</v>
      </c>
      <c r="I204" s="2" t="s">
        <v>13</v>
      </c>
    </row>
    <row r="205" spans="1:9" x14ac:dyDescent="0.45">
      <c r="A205">
        <f>MONTH(Budget3[[#This Row],[Date]])</f>
        <v>6</v>
      </c>
      <c r="B205" s="1">
        <v>45817</v>
      </c>
      <c r="C205" s="1" t="s">
        <v>18</v>
      </c>
      <c r="D205" s="1" t="s">
        <v>16</v>
      </c>
      <c r="F205" s="2">
        <v>43.68</v>
      </c>
      <c r="G205" s="2">
        <f>SUM(G204+Budget3[[#This Row],[Income]]-Budget3[[#This Row],[Credit]])</f>
        <v>-6633.8600000000015</v>
      </c>
      <c r="H205" s="2" t="str">
        <f>TEXT(Budget3[[#This Row],[Date]], "mmm")</f>
        <v>Jun</v>
      </c>
      <c r="I205" s="2" t="s">
        <v>16</v>
      </c>
    </row>
    <row r="206" spans="1:9" x14ac:dyDescent="0.45">
      <c r="A206">
        <f>MONTH(Budget3[[#This Row],[Date]])</f>
        <v>6</v>
      </c>
      <c r="B206" s="1">
        <v>45818</v>
      </c>
      <c r="C206" s="1" t="s">
        <v>223</v>
      </c>
      <c r="D206" s="1" t="s">
        <v>39</v>
      </c>
      <c r="F206" s="2">
        <v>15.16</v>
      </c>
      <c r="G206" s="2">
        <f>SUM(G205+Budget3[[#This Row],[Income]]-Budget3[[#This Row],[Credit]])</f>
        <v>-6649.0200000000013</v>
      </c>
      <c r="H206" s="2" t="str">
        <f>TEXT(Budget3[[#This Row],[Date]], "mmm")</f>
        <v>Jun</v>
      </c>
      <c r="I206" s="2" t="s">
        <v>339</v>
      </c>
    </row>
    <row r="207" spans="1:9" x14ac:dyDescent="0.45">
      <c r="A207">
        <f>MONTH(Budget3[[#This Row],[Date]])</f>
        <v>6</v>
      </c>
      <c r="B207" s="1">
        <v>45818</v>
      </c>
      <c r="C207" s="1" t="s">
        <v>78</v>
      </c>
      <c r="D207" s="1" t="s">
        <v>13</v>
      </c>
      <c r="F207" s="2">
        <v>32.450000000000003</v>
      </c>
      <c r="G207" s="2">
        <f>SUM(G206+Budget3[[#This Row],[Income]]-Budget3[[#This Row],[Credit]])</f>
        <v>-6681.4700000000012</v>
      </c>
      <c r="H207" s="2" t="str">
        <f>TEXT(Budget3[[#This Row],[Date]], "mmm")</f>
        <v>Jun</v>
      </c>
      <c r="I207" s="2" t="s">
        <v>13</v>
      </c>
    </row>
    <row r="208" spans="1:9" x14ac:dyDescent="0.45">
      <c r="A208">
        <f>MONTH(Budget3[[#This Row],[Date]])</f>
        <v>6</v>
      </c>
      <c r="B208" s="1">
        <v>45820</v>
      </c>
      <c r="C208" s="1" t="s">
        <v>17</v>
      </c>
      <c r="D208" s="1" t="s">
        <v>4</v>
      </c>
      <c r="E208" s="2">
        <v>485.72</v>
      </c>
      <c r="G208" s="2">
        <f>SUM(G207+Budget3[[#This Row],[Income]]-Budget3[[#This Row],[Credit]])</f>
        <v>-6195.7500000000009</v>
      </c>
      <c r="H208" s="2" t="str">
        <f>TEXT(Budget3[[#This Row],[Date]], "mmm")</f>
        <v>Jun</v>
      </c>
      <c r="I208" s="2" t="str">
        <f>IF(ISNUMBER(SEARCH("income", Budget3[[#This Row],[Category]])), "Income", "")</f>
        <v>Income</v>
      </c>
    </row>
    <row r="209" spans="1:9" x14ac:dyDescent="0.45">
      <c r="A209">
        <f>MONTH(Budget3[[#This Row],[Date]])</f>
        <v>6</v>
      </c>
      <c r="B209" s="1">
        <v>45821</v>
      </c>
      <c r="C209" s="1" t="s">
        <v>67</v>
      </c>
      <c r="D209" s="1" t="s">
        <v>39</v>
      </c>
      <c r="F209" s="2">
        <v>10.28</v>
      </c>
      <c r="G209" s="2">
        <f>SUM(G207+Budget3[[#This Row],[Income]]-Budget3[[#This Row],[Credit]])</f>
        <v>-6691.7500000000009</v>
      </c>
      <c r="H209" s="2" t="str">
        <f>TEXT(Budget3[[#This Row],[Date]], "mmm")</f>
        <v>Jun</v>
      </c>
      <c r="I209" s="2" t="s">
        <v>339</v>
      </c>
    </row>
    <row r="210" spans="1:9" x14ac:dyDescent="0.45">
      <c r="A210">
        <f>MONTH(Budget3[[#This Row],[Date]])</f>
        <v>6</v>
      </c>
      <c r="B210" s="1">
        <v>45823</v>
      </c>
      <c r="C210" s="1" t="s">
        <v>92</v>
      </c>
      <c r="D210" s="1" t="s">
        <v>130</v>
      </c>
      <c r="F210" s="2">
        <v>21.64</v>
      </c>
      <c r="G210" s="2">
        <f>SUM(G209+Budget3[[#This Row],[Income]]-Budget3[[#This Row],[Credit]])</f>
        <v>-6713.3900000000012</v>
      </c>
      <c r="H210" s="2" t="str">
        <f>TEXT(Budget3[[#This Row],[Date]], "mmm")</f>
        <v>Jun</v>
      </c>
      <c r="I210" s="2" t="s">
        <v>344</v>
      </c>
    </row>
    <row r="211" spans="1:9" x14ac:dyDescent="0.45">
      <c r="A211">
        <f>MONTH(Budget3[[#This Row],[Date]])</f>
        <v>6</v>
      </c>
      <c r="B211" s="1">
        <v>45823</v>
      </c>
      <c r="C211" s="1" t="s">
        <v>70</v>
      </c>
      <c r="D211" s="1" t="s">
        <v>13</v>
      </c>
      <c r="F211" s="51">
        <v>54.81</v>
      </c>
      <c r="G211" s="2">
        <f>SUM(G210+Budget3[[#This Row],[Income]]-Budget3[[#This Row],[Credit]])</f>
        <v>-6768.2000000000016</v>
      </c>
      <c r="H211" s="2" t="str">
        <f>TEXT(Budget3[[#This Row],[Date]], "mmm")</f>
        <v>Jun</v>
      </c>
      <c r="I211" s="2" t="s">
        <v>13</v>
      </c>
    </row>
    <row r="212" spans="1:9" x14ac:dyDescent="0.45">
      <c r="A212">
        <f>MONTH(Budget3[[#This Row],[Date]])</f>
        <v>6</v>
      </c>
      <c r="B212" s="1">
        <v>45824</v>
      </c>
      <c r="C212" s="1" t="s">
        <v>78</v>
      </c>
      <c r="D212" s="1" t="s">
        <v>13</v>
      </c>
      <c r="F212" s="51">
        <v>15.14</v>
      </c>
      <c r="G212" s="2">
        <f>SUM(G211+Budget3[[#This Row],[Income]]-Budget3[[#This Row],[Credit]])</f>
        <v>-6783.340000000002</v>
      </c>
      <c r="H212" s="2" t="str">
        <f>TEXT(Budget3[[#This Row],[Date]], "mmm")</f>
        <v>Jun</v>
      </c>
      <c r="I212" s="2" t="s">
        <v>13</v>
      </c>
    </row>
    <row r="213" spans="1:9" x14ac:dyDescent="0.45">
      <c r="A213">
        <f>MONTH(Budget3[[#This Row],[Date]])</f>
        <v>6</v>
      </c>
      <c r="B213" s="1">
        <v>45825</v>
      </c>
      <c r="C213" t="s">
        <v>349</v>
      </c>
      <c r="D213" s="1" t="s">
        <v>29</v>
      </c>
      <c r="F213" s="50">
        <v>556.73</v>
      </c>
      <c r="G213" s="2">
        <f>SUM(G212+Budget3[[#This Row],[Income]]-Budget3[[#This Row],[Credit]])</f>
        <v>-7340.0700000000015</v>
      </c>
      <c r="H213" s="2" t="str">
        <f>TEXT(Budget3[[#This Row],[Date]], "mmm")</f>
        <v>Jun</v>
      </c>
      <c r="I213" s="2" t="s">
        <v>29</v>
      </c>
    </row>
    <row r="214" spans="1:9" x14ac:dyDescent="0.45">
      <c r="A214">
        <f>MONTH(Budget3[[#This Row],[Date]])</f>
        <v>6</v>
      </c>
      <c r="B214" s="1">
        <v>45825</v>
      </c>
      <c r="C214" s="1" t="s">
        <v>61</v>
      </c>
      <c r="D214" s="1" t="s">
        <v>13</v>
      </c>
      <c r="F214" s="2">
        <v>11</v>
      </c>
      <c r="G214" s="2">
        <f>SUM(G213+Budget3[[#This Row],[Income]]-Budget3[[#This Row],[Credit]])</f>
        <v>-7351.0700000000015</v>
      </c>
      <c r="H214" s="2" t="str">
        <f>TEXT(Budget3[[#This Row],[Date]], "mmm")</f>
        <v>Jun</v>
      </c>
      <c r="I214" s="2" t="s">
        <v>13</v>
      </c>
    </row>
    <row r="215" spans="1:9" x14ac:dyDescent="0.45">
      <c r="A215">
        <f>MONTH(Budget3[[#This Row],[Date]])</f>
        <v>6</v>
      </c>
      <c r="B215" s="1">
        <v>45825</v>
      </c>
      <c r="C215" s="1" t="s">
        <v>18</v>
      </c>
      <c r="D215" s="1" t="s">
        <v>16</v>
      </c>
      <c r="F215" s="2">
        <v>49.38</v>
      </c>
      <c r="G215" s="2">
        <f>SUM(G214+Budget3[[#This Row],[Income]]-Budget3[[#This Row],[Credit]])</f>
        <v>-7400.4500000000016</v>
      </c>
      <c r="H215" s="2" t="str">
        <f>TEXT(Budget3[[#This Row],[Date]], "mmm")</f>
        <v>Jun</v>
      </c>
      <c r="I215" s="2" t="s">
        <v>16</v>
      </c>
    </row>
    <row r="216" spans="1:9" x14ac:dyDescent="0.45">
      <c r="A216">
        <f>MONTH(Budget3[[#This Row],[Date]])</f>
        <v>6</v>
      </c>
      <c r="B216" s="1">
        <v>45827</v>
      </c>
      <c r="C216" s="1" t="s">
        <v>73</v>
      </c>
      <c r="D216" s="1" t="s">
        <v>39</v>
      </c>
      <c r="F216" s="2">
        <v>8.5</v>
      </c>
      <c r="G216" s="2">
        <f>SUM(G215+Budget3[[#This Row],[Income]]-Budget3[[#This Row],[Credit]])</f>
        <v>-7408.9500000000016</v>
      </c>
      <c r="H216" s="2" t="str">
        <f>TEXT(Budget3[[#This Row],[Date]], "mmm")</f>
        <v>Jun</v>
      </c>
      <c r="I216" s="2" t="s">
        <v>339</v>
      </c>
    </row>
    <row r="217" spans="1:9" x14ac:dyDescent="0.45">
      <c r="A217">
        <f>MONTH(Budget3[[#This Row],[Date]])</f>
        <v>6</v>
      </c>
      <c r="B217" s="1">
        <v>45830</v>
      </c>
      <c r="C217" s="1" t="s">
        <v>225</v>
      </c>
      <c r="D217" s="1" t="s">
        <v>130</v>
      </c>
      <c r="F217" s="2">
        <v>5.36</v>
      </c>
      <c r="G217" s="2">
        <f>SUM(G216+Budget3[[#This Row],[Income]]-Budget3[[#This Row],[Credit]])</f>
        <v>-7414.3100000000013</v>
      </c>
      <c r="H217" s="2" t="str">
        <f>TEXT(Budget3[[#This Row],[Date]], "mmm")</f>
        <v>Jun</v>
      </c>
      <c r="I217" s="2" t="s">
        <v>345</v>
      </c>
    </row>
    <row r="218" spans="1:9" x14ac:dyDescent="0.45">
      <c r="A218">
        <f>MONTH(Budget3[[#This Row],[Date]])</f>
        <v>6</v>
      </c>
      <c r="B218" s="1">
        <v>45830</v>
      </c>
      <c r="C218" s="1" t="s">
        <v>225</v>
      </c>
      <c r="D218" s="1" t="s">
        <v>130</v>
      </c>
      <c r="F218" s="2">
        <v>5.36</v>
      </c>
      <c r="G218" s="2">
        <f>SUM(G217+Budget3[[#This Row],[Income]]-Budget3[[#This Row],[Credit]])</f>
        <v>-7419.670000000001</v>
      </c>
      <c r="H218" s="2" t="str">
        <f>TEXT(Budget3[[#This Row],[Date]], "mmm")</f>
        <v>Jun</v>
      </c>
      <c r="I218" s="2" t="s">
        <v>345</v>
      </c>
    </row>
    <row r="219" spans="1:9" x14ac:dyDescent="0.45">
      <c r="A219">
        <f>MONTH(Budget3[[#This Row],[Date]])</f>
        <v>6</v>
      </c>
      <c r="B219" s="1">
        <v>45832</v>
      </c>
      <c r="C219" s="1" t="s">
        <v>226</v>
      </c>
      <c r="D219" s="1" t="s">
        <v>39</v>
      </c>
      <c r="F219" s="2">
        <v>16.079999999999998</v>
      </c>
      <c r="G219" s="2">
        <f>SUM(G218+Budget3[[#This Row],[Income]]-Budget3[[#This Row],[Credit]])</f>
        <v>-7435.7500000000009</v>
      </c>
      <c r="H219" s="2" t="str">
        <f>TEXT(Budget3[[#This Row],[Date]], "mmm")</f>
        <v>Jun</v>
      </c>
      <c r="I219" s="2" t="s">
        <v>339</v>
      </c>
    </row>
    <row r="220" spans="1:9" x14ac:dyDescent="0.45">
      <c r="A220">
        <f>MONTH(Budget3[[#This Row],[Date]])</f>
        <v>6</v>
      </c>
      <c r="B220" s="1">
        <v>45833</v>
      </c>
      <c r="C220" s="1" t="s">
        <v>161</v>
      </c>
      <c r="D220" s="1" t="s">
        <v>13</v>
      </c>
      <c r="F220" s="2">
        <v>12.99</v>
      </c>
      <c r="G220" s="2">
        <f>SUM(G219+Budget3[[#This Row],[Income]]-Budget3[[#This Row],[Credit]])</f>
        <v>-7448.7400000000007</v>
      </c>
      <c r="H220" s="2" t="str">
        <f>TEXT(Budget3[[#This Row],[Date]], "mmm")</f>
        <v>Jun</v>
      </c>
      <c r="I220" s="2" t="s">
        <v>13</v>
      </c>
    </row>
    <row r="221" spans="1:9" x14ac:dyDescent="0.45">
      <c r="A221">
        <f>MONTH(Budget3[[#This Row],[Date]])</f>
        <v>6</v>
      </c>
      <c r="B221" s="1">
        <v>45833</v>
      </c>
      <c r="C221" s="1" t="s">
        <v>78</v>
      </c>
      <c r="D221" s="1" t="s">
        <v>13</v>
      </c>
      <c r="F221" s="2">
        <v>42.74</v>
      </c>
      <c r="G221" s="2">
        <f>SUM(G220+Budget3[[#This Row],[Income]]-Budget3[[#This Row],[Credit]])</f>
        <v>-7491.4800000000005</v>
      </c>
      <c r="H221" s="2" t="str">
        <f>TEXT(Budget3[[#This Row],[Date]], "mmm")</f>
        <v>Jun</v>
      </c>
      <c r="I221" s="2" t="s">
        <v>13</v>
      </c>
    </row>
    <row r="222" spans="1:9" x14ac:dyDescent="0.45">
      <c r="A222">
        <f>MONTH(Budget3[[#This Row],[Date]])</f>
        <v>6</v>
      </c>
      <c r="B222" s="1">
        <v>45834</v>
      </c>
      <c r="C222" s="1" t="s">
        <v>78</v>
      </c>
      <c r="D222" s="1" t="s">
        <v>13</v>
      </c>
      <c r="F222" s="2">
        <v>28.28</v>
      </c>
      <c r="G222" s="2">
        <f>SUM(G221+Budget3[[#This Row],[Income]]-Budget3[[#This Row],[Credit]])</f>
        <v>-7519.76</v>
      </c>
      <c r="H222" s="2" t="str">
        <f>TEXT(Budget3[[#This Row],[Date]], "mmm")</f>
        <v>Jun</v>
      </c>
      <c r="I222" s="2" t="s">
        <v>13</v>
      </c>
    </row>
    <row r="223" spans="1:9" x14ac:dyDescent="0.45">
      <c r="A223">
        <f>MONTH(Budget3[[#This Row],[Date]])</f>
        <v>6</v>
      </c>
      <c r="B223" s="1">
        <v>45834</v>
      </c>
      <c r="C223" s="1" t="s">
        <v>18</v>
      </c>
      <c r="D223" s="1" t="s">
        <v>16</v>
      </c>
      <c r="F223" s="2">
        <v>44.65</v>
      </c>
      <c r="G223" s="2">
        <f>SUM(G222+Budget3[[#This Row],[Income]]-Budget3[[#This Row],[Credit]])</f>
        <v>-7564.41</v>
      </c>
      <c r="H223" s="2" t="str">
        <f>TEXT(Budget3[[#This Row],[Date]], "mmm")</f>
        <v>Jun</v>
      </c>
      <c r="I223" s="2" t="s">
        <v>16</v>
      </c>
    </row>
    <row r="224" spans="1:9" x14ac:dyDescent="0.45">
      <c r="A224">
        <f>MONTH(Budget3[[#This Row],[Date]])</f>
        <v>6</v>
      </c>
      <c r="B224" s="1">
        <v>45835</v>
      </c>
      <c r="C224" s="1" t="s">
        <v>227</v>
      </c>
      <c r="D224" s="1" t="s">
        <v>13</v>
      </c>
      <c r="F224" s="2">
        <v>4.99</v>
      </c>
      <c r="G224" s="2">
        <f>SUM(G223+Budget3[[#This Row],[Income]]-Budget3[[#This Row],[Credit]])</f>
        <v>-7569.4</v>
      </c>
      <c r="H224" s="2" t="str">
        <f>TEXT(Budget3[[#This Row],[Date]], "mmm")</f>
        <v>Jun</v>
      </c>
      <c r="I224" s="2" t="s">
        <v>13</v>
      </c>
    </row>
    <row r="225" spans="1:9" x14ac:dyDescent="0.45">
      <c r="A225">
        <f>MONTH(Budget3[[#This Row],[Date]])</f>
        <v>6</v>
      </c>
      <c r="B225" s="1">
        <v>45835</v>
      </c>
      <c r="C225" s="1" t="s">
        <v>36</v>
      </c>
      <c r="D225" s="1" t="s">
        <v>39</v>
      </c>
      <c r="F225" s="2">
        <v>1.62</v>
      </c>
      <c r="G225" s="2">
        <f>SUM(G224+Budget3[[#This Row],[Income]]-Budget3[[#This Row],[Credit]])</f>
        <v>-7571.0199999999995</v>
      </c>
      <c r="H225" s="2" t="str">
        <f>TEXT(Budget3[[#This Row],[Date]], "mmm")</f>
        <v>Jun</v>
      </c>
      <c r="I225" s="2" t="s">
        <v>339</v>
      </c>
    </row>
    <row r="226" spans="1:9" x14ac:dyDescent="0.45">
      <c r="A226">
        <f>MONTH(Budget3[[#This Row],[Date]])</f>
        <v>6</v>
      </c>
      <c r="B226" s="1">
        <v>45835</v>
      </c>
      <c r="C226" s="1" t="s">
        <v>228</v>
      </c>
      <c r="D226" s="1" t="s">
        <v>39</v>
      </c>
      <c r="F226" s="2">
        <v>23.93</v>
      </c>
      <c r="G226" s="2">
        <f>SUM(G225+Budget3[[#This Row],[Income]]-Budget3[[#This Row],[Credit]])</f>
        <v>-7594.95</v>
      </c>
      <c r="H226" s="2" t="str">
        <f>TEXT(Budget3[[#This Row],[Date]], "mmm")</f>
        <v>Jun</v>
      </c>
      <c r="I226" s="2" t="s">
        <v>339</v>
      </c>
    </row>
    <row r="227" spans="1:9" x14ac:dyDescent="0.45">
      <c r="A227">
        <f>MONTH(Budget3[[#This Row],[Date]])</f>
        <v>6</v>
      </c>
      <c r="B227" s="1">
        <v>45835</v>
      </c>
      <c r="C227" s="1" t="s">
        <v>68</v>
      </c>
      <c r="D227" s="1" t="s">
        <v>130</v>
      </c>
      <c r="F227" s="2">
        <v>23.8</v>
      </c>
      <c r="G227" s="2">
        <f>SUM(G226+Budget3[[#This Row],[Income]]-Budget3[[#This Row],[Credit]])</f>
        <v>-7618.75</v>
      </c>
      <c r="H227" s="2" t="str">
        <f>TEXT(Budget3[[#This Row],[Date]], "mmm")</f>
        <v>Jun</v>
      </c>
      <c r="I227" s="2" t="s">
        <v>312</v>
      </c>
    </row>
    <row r="228" spans="1:9" x14ac:dyDescent="0.45">
      <c r="A228">
        <f>MONTH(Budget3[[#This Row],[Date]])</f>
        <v>6</v>
      </c>
      <c r="B228" s="1">
        <v>45835</v>
      </c>
      <c r="C228" s="1" t="s">
        <v>123</v>
      </c>
      <c r="D228" s="1" t="s">
        <v>130</v>
      </c>
      <c r="F228" s="2">
        <v>37.880000000000003</v>
      </c>
      <c r="G228" s="2">
        <f>SUM(G227+Budget3[[#This Row],[Income]]-Budget3[[#This Row],[Credit]])</f>
        <v>-7656.63</v>
      </c>
      <c r="H228" s="2" t="str">
        <f>TEXT(Budget3[[#This Row],[Date]], "mmm")</f>
        <v>Jun</v>
      </c>
      <c r="I228" s="2" t="s">
        <v>312</v>
      </c>
    </row>
    <row r="229" spans="1:9" x14ac:dyDescent="0.45">
      <c r="A229">
        <f>MONTH(Budget3[[#This Row],[Date]])</f>
        <v>6</v>
      </c>
      <c r="B229" s="1">
        <v>45835</v>
      </c>
      <c r="C229" s="1" t="s">
        <v>123</v>
      </c>
      <c r="D229" s="1" t="s">
        <v>130</v>
      </c>
      <c r="F229" s="2">
        <v>23.8</v>
      </c>
      <c r="G229" s="2">
        <f>SUM(G228+Budget3[[#This Row],[Income]]-Budget3[[#This Row],[Credit]])</f>
        <v>-7680.43</v>
      </c>
      <c r="H229" s="2" t="str">
        <f>TEXT(Budget3[[#This Row],[Date]], "mmm")</f>
        <v>Jun</v>
      </c>
      <c r="I229" s="2" t="s">
        <v>312</v>
      </c>
    </row>
    <row r="230" spans="1:9" x14ac:dyDescent="0.45">
      <c r="A230">
        <f>MONTH(Budget3[[#This Row],[Date]])</f>
        <v>6</v>
      </c>
      <c r="B230" s="1">
        <v>45836</v>
      </c>
      <c r="C230" s="1" t="s">
        <v>229</v>
      </c>
      <c r="D230" s="1" t="s">
        <v>130</v>
      </c>
      <c r="F230" s="2">
        <v>64.94</v>
      </c>
      <c r="G230" s="2">
        <f>SUM(G229+Budget3[[#This Row],[Income]]-Budget3[[#This Row],[Credit]])</f>
        <v>-7745.37</v>
      </c>
      <c r="H230" s="2" t="str">
        <f>TEXT(Budget3[[#This Row],[Date]], "mmm")</f>
        <v>Jun</v>
      </c>
      <c r="I230" s="2" t="s">
        <v>312</v>
      </c>
    </row>
    <row r="231" spans="1:9" x14ac:dyDescent="0.45">
      <c r="A231">
        <f>MONTH(Budget3[[#This Row],[Date]])</f>
        <v>6</v>
      </c>
      <c r="B231" s="1">
        <v>45836</v>
      </c>
      <c r="C231" s="1" t="s">
        <v>230</v>
      </c>
      <c r="D231" s="1" t="s">
        <v>39</v>
      </c>
      <c r="F231" s="2">
        <v>14.06</v>
      </c>
      <c r="G231" s="2">
        <f>SUM(G230+Budget3[[#This Row],[Income]]-Budget3[[#This Row],[Credit]])</f>
        <v>-7759.43</v>
      </c>
      <c r="H231" s="2" t="str">
        <f>TEXT(Budget3[[#This Row],[Date]], "mmm")</f>
        <v>Jun</v>
      </c>
      <c r="I231" s="2" t="s">
        <v>339</v>
      </c>
    </row>
    <row r="232" spans="1:9" x14ac:dyDescent="0.45">
      <c r="A232">
        <f>MONTH(Budget3[[#This Row],[Date]])</f>
        <v>6</v>
      </c>
      <c r="B232" s="1">
        <v>45837</v>
      </c>
      <c r="C232" s="1" t="s">
        <v>231</v>
      </c>
      <c r="D232" s="1" t="s">
        <v>130</v>
      </c>
      <c r="F232" s="2">
        <v>21.64</v>
      </c>
      <c r="G232" s="2">
        <f>SUM(G231+Budget3[[#This Row],[Income]]-Budget3[[#This Row],[Credit]])</f>
        <v>-7781.0700000000006</v>
      </c>
      <c r="H232" s="2" t="str">
        <f>TEXT(Budget3[[#This Row],[Date]], "mmm")</f>
        <v>Jun</v>
      </c>
      <c r="I232" s="2" t="s">
        <v>343</v>
      </c>
    </row>
    <row r="233" spans="1:9" x14ac:dyDescent="0.45">
      <c r="A233">
        <f>MONTH(Budget3[[#This Row],[Date]])</f>
        <v>6</v>
      </c>
      <c r="B233" s="1">
        <v>45837</v>
      </c>
      <c r="C233" s="1" t="s">
        <v>232</v>
      </c>
      <c r="D233" s="1" t="s">
        <v>39</v>
      </c>
      <c r="F233" s="2">
        <v>7.77</v>
      </c>
      <c r="G233" s="2">
        <f>SUM(G232+Budget3[[#This Row],[Income]]-Budget3[[#This Row],[Credit]])</f>
        <v>-7788.8400000000011</v>
      </c>
      <c r="H233" s="2" t="str">
        <f>TEXT(Budget3[[#This Row],[Date]], "mmm")</f>
        <v>Jun</v>
      </c>
      <c r="I233" s="2" t="s">
        <v>339</v>
      </c>
    </row>
    <row r="234" spans="1:9" x14ac:dyDescent="0.45">
      <c r="A234">
        <f>MONTH(Budget3[[#This Row],[Date]])</f>
        <v>6</v>
      </c>
      <c r="B234" s="1">
        <v>45838</v>
      </c>
      <c r="C234" t="s">
        <v>233</v>
      </c>
      <c r="D234" t="s">
        <v>39</v>
      </c>
      <c r="F234" s="2">
        <v>16.03</v>
      </c>
      <c r="G234" s="2">
        <f>SUM(G233+Budget3[[#This Row],[Income]]-Budget3[[#This Row],[Credit]])</f>
        <v>-7804.8700000000008</v>
      </c>
      <c r="H234" s="2" t="str">
        <f>TEXT(Budget3[[#This Row],[Date]], "mmm")</f>
        <v>Jun</v>
      </c>
      <c r="I234" s="2" t="s">
        <v>339</v>
      </c>
    </row>
    <row r="235" spans="1:9" x14ac:dyDescent="0.45">
      <c r="A235">
        <f>MONTH(Budget3[[#This Row],[Date]])</f>
        <v>6</v>
      </c>
      <c r="B235" s="1">
        <v>45834</v>
      </c>
      <c r="C235" t="s">
        <v>17</v>
      </c>
      <c r="D235" t="s">
        <v>4</v>
      </c>
      <c r="E235" s="2">
        <v>926.74</v>
      </c>
      <c r="G235" s="2">
        <f>SUM(G234+Budget3[[#This Row],[Income]]-Budget3[[#This Row],[Credit]])</f>
        <v>-6878.130000000001</v>
      </c>
      <c r="H235" s="2" t="str">
        <f>TEXT(Budget3[[#This Row],[Date]], "mmm")</f>
        <v>Jun</v>
      </c>
      <c r="I235" s="2" t="str">
        <f>IF(ISNUMBER(SEARCH("income", Budget3[[#This Row],[Category]])), "Income", "")</f>
        <v>Income</v>
      </c>
    </row>
    <row r="236" spans="1:9" x14ac:dyDescent="0.45">
      <c r="A236">
        <f>MONTH(Budget3[[#This Row],[Date]])</f>
        <v>6</v>
      </c>
      <c r="B236" s="1">
        <v>45834</v>
      </c>
      <c r="C236" t="s">
        <v>98</v>
      </c>
      <c r="D236" t="s">
        <v>100</v>
      </c>
      <c r="E236" s="2">
        <v>-20</v>
      </c>
      <c r="G236" s="2">
        <f>SUM(G235+Budget3[[#This Row],[Income]]-Budget3[[#This Row],[Credit]])</f>
        <v>-6898.130000000001</v>
      </c>
      <c r="H236" s="2" t="str">
        <f>TEXT(Budget3[[#This Row],[Date]], "mmm")</f>
        <v>Jun</v>
      </c>
      <c r="I236" s="2" t="s">
        <v>100</v>
      </c>
    </row>
    <row r="237" spans="1:9" x14ac:dyDescent="0.45">
      <c r="A237">
        <f>MONTH(Budget3[[#This Row],[Date]])</f>
        <v>6</v>
      </c>
      <c r="B237" s="1">
        <v>45837</v>
      </c>
      <c r="C237" t="s">
        <v>105</v>
      </c>
      <c r="D237" t="s">
        <v>100</v>
      </c>
      <c r="E237" s="2">
        <v>-10</v>
      </c>
      <c r="G237" s="2">
        <f>SUM(G236+Budget3[[#This Row],[Income]]-Budget3[[#This Row],[Credit]])</f>
        <v>-6908.130000000001</v>
      </c>
      <c r="H237" s="2" t="str">
        <f>TEXT(Budget3[[#This Row],[Date]], "mmm")</f>
        <v>Jun</v>
      </c>
      <c r="I237" s="2" t="s">
        <v>100</v>
      </c>
    </row>
    <row r="238" spans="1:9" x14ac:dyDescent="0.45">
      <c r="A238">
        <f>MONTH(Budget3[[#This Row],[Date]])</f>
        <v>6</v>
      </c>
      <c r="B238" s="1">
        <v>45838</v>
      </c>
      <c r="C238" t="s">
        <v>32</v>
      </c>
      <c r="D238" t="s">
        <v>35</v>
      </c>
      <c r="F238" s="11">
        <v>27.28</v>
      </c>
      <c r="G238" s="2">
        <f>SUM(G237+Budget3[[#This Row],[Income]]-Budget3[[#This Row],[Credit]])</f>
        <v>-6935.4100000000008</v>
      </c>
      <c r="H238" s="2" t="str">
        <f>TEXT(Budget3[[#This Row],[Date]], "mmm")</f>
        <v>Jun</v>
      </c>
      <c r="I238" s="2" t="s">
        <v>9</v>
      </c>
    </row>
    <row r="239" spans="1:9" ht="14.65" thickBot="1" x14ac:dyDescent="0.5">
      <c r="A239" s="27">
        <f>MONTH(Budget3[[#This Row],[Date]])</f>
        <v>6</v>
      </c>
      <c r="B239" s="28">
        <v>45837</v>
      </c>
      <c r="C239" s="27" t="s">
        <v>235</v>
      </c>
      <c r="D239" s="27" t="s">
        <v>4</v>
      </c>
      <c r="E239" s="29">
        <v>6.5</v>
      </c>
      <c r="F239" s="29"/>
      <c r="G239" s="29">
        <f>SUM(G237+Budget3[[#This Row],[Income]]-Budget3[[#This Row],[Credit]])</f>
        <v>-6901.630000000001</v>
      </c>
      <c r="H239" s="2" t="str">
        <f>TEXT(Budget3[[#This Row],[Date]], "mmm")</f>
        <v>Jun</v>
      </c>
      <c r="I239" s="2" t="s">
        <v>346</v>
      </c>
    </row>
    <row r="240" spans="1:9" ht="14.65" thickTop="1" x14ac:dyDescent="0.45">
      <c r="A240">
        <f>MONTH(Budget3[[#This Row],[Date]])</f>
        <v>7</v>
      </c>
      <c r="B240" s="1">
        <v>45840</v>
      </c>
      <c r="C240" t="s">
        <v>234</v>
      </c>
      <c r="D240" t="s">
        <v>39</v>
      </c>
      <c r="F240" s="2">
        <v>69.06</v>
      </c>
      <c r="G240" s="2">
        <f>SUM(G239+Budget3[[#This Row],[Income]]-Budget3[[#This Row],[Credit]])</f>
        <v>-6970.6900000000014</v>
      </c>
      <c r="H240" s="2" t="str">
        <f>TEXT(Budget3[[#This Row],[Date]], "mmm")</f>
        <v>Jul</v>
      </c>
      <c r="I240" s="2" t="s">
        <v>339</v>
      </c>
    </row>
    <row r="241" spans="1:9" x14ac:dyDescent="0.45">
      <c r="A241">
        <f>MONTH(Budget3[[#This Row],[Date]])</f>
        <v>7</v>
      </c>
      <c r="B241" s="1">
        <v>45842</v>
      </c>
      <c r="C241" t="s">
        <v>349</v>
      </c>
      <c r="D241" s="1" t="s">
        <v>29</v>
      </c>
      <c r="F241" s="50">
        <v>603.80999999999995</v>
      </c>
      <c r="G241" s="2">
        <f>SUM(G240+Budget3[[#This Row],[Income]]-Budget3[[#This Row],[Credit]])</f>
        <v>-7574.5000000000018</v>
      </c>
      <c r="H241" s="2" t="str">
        <f>TEXT(Budget3[[#This Row],[Date]], "mmm")</f>
        <v>Jul</v>
      </c>
      <c r="I241" s="2" t="s">
        <v>29</v>
      </c>
    </row>
    <row r="242" spans="1:9" x14ac:dyDescent="0.45">
      <c r="A242">
        <f>MONTH(Budget3[[#This Row],[Date]])</f>
        <v>7</v>
      </c>
      <c r="B242" s="1">
        <v>45845</v>
      </c>
      <c r="C242" t="s">
        <v>18</v>
      </c>
      <c r="D242" t="s">
        <v>16</v>
      </c>
      <c r="F242" s="2">
        <v>42.34</v>
      </c>
      <c r="G242" s="2">
        <f>SUM(G241+Budget3[[#This Row],[Income]]-Budget3[[#This Row],[Credit]])</f>
        <v>-7616.840000000002</v>
      </c>
      <c r="H242" s="2" t="str">
        <f>TEXT(Budget3[[#This Row],[Date]], "mmm")</f>
        <v>Jul</v>
      </c>
      <c r="I242" s="2" t="s">
        <v>16</v>
      </c>
    </row>
    <row r="243" spans="1:9" x14ac:dyDescent="0.45">
      <c r="A243">
        <f>MONTH(Budget3[[#This Row],[Date]])</f>
        <v>7</v>
      </c>
      <c r="B243" s="1">
        <v>45848</v>
      </c>
      <c r="C243" t="s">
        <v>17</v>
      </c>
      <c r="D243" t="s">
        <v>4</v>
      </c>
      <c r="E243" s="2">
        <v>948.01</v>
      </c>
      <c r="G243" s="2">
        <f>SUM(G242+Budget3[[#This Row],[Income]]-Budget3[[#This Row],[Credit]])</f>
        <v>-6668.8300000000017</v>
      </c>
      <c r="H243" s="2" t="str">
        <f>TEXT(Budget3[[#This Row],[Date]], "mmm")</f>
        <v>Jul</v>
      </c>
      <c r="I243" s="2" t="str">
        <f>IF(ISNUMBER(SEARCH("income", Budget3[[#This Row],[Category]])), "Income", "")</f>
        <v>Income</v>
      </c>
    </row>
    <row r="244" spans="1:9" x14ac:dyDescent="0.45">
      <c r="A244">
        <f>MONTH(Budget3[[#This Row],[Date]])</f>
        <v>7</v>
      </c>
      <c r="B244" s="1">
        <v>45845</v>
      </c>
      <c r="C244" t="s">
        <v>18</v>
      </c>
      <c r="D244" t="s">
        <v>16</v>
      </c>
      <c r="F244" s="2">
        <v>4.96</v>
      </c>
      <c r="G244" s="2">
        <f>SUM(G243+Budget3[[#This Row],[Income]]-Budget3[[#This Row],[Credit]])</f>
        <v>-6673.7900000000018</v>
      </c>
      <c r="H244" s="2" t="str">
        <f>TEXT(Budget3[[#This Row],[Date]], "mmm")</f>
        <v>Jul</v>
      </c>
      <c r="I244" s="2" t="s">
        <v>16</v>
      </c>
    </row>
    <row r="245" spans="1:9" x14ac:dyDescent="0.45">
      <c r="A245">
        <f>MONTH(Budget3[[#This Row],[Date]])</f>
        <v>7</v>
      </c>
      <c r="B245" s="1">
        <v>45848</v>
      </c>
      <c r="C245" t="s">
        <v>123</v>
      </c>
      <c r="D245" t="s">
        <v>130</v>
      </c>
      <c r="F245" s="2">
        <v>23.8</v>
      </c>
      <c r="G245" s="2">
        <f>SUM(G244+Budget3[[#This Row],[Income]]-Budget3[[#This Row],[Credit]])</f>
        <v>-6697.590000000002</v>
      </c>
      <c r="H245" s="2" t="str">
        <f>TEXT(Budget3[[#This Row],[Date]], "mmm")</f>
        <v>Jul</v>
      </c>
      <c r="I245" s="2" t="s">
        <v>312</v>
      </c>
    </row>
    <row r="246" spans="1:9" x14ac:dyDescent="0.45">
      <c r="A246">
        <f>MONTH(Budget3[[#This Row],[Date]])</f>
        <v>7</v>
      </c>
      <c r="B246" s="1">
        <v>45849</v>
      </c>
      <c r="C246" t="s">
        <v>236</v>
      </c>
      <c r="D246" t="s">
        <v>13</v>
      </c>
      <c r="F246" s="2">
        <v>37.5</v>
      </c>
      <c r="G246" s="2">
        <f>SUM(G245+Budget3[[#This Row],[Income]]-Budget3[[#This Row],[Credit]])</f>
        <v>-6735.090000000002</v>
      </c>
      <c r="H246" s="2" t="str">
        <f>TEXT(Budget3[[#This Row],[Date]], "mmm")</f>
        <v>Jul</v>
      </c>
      <c r="I246" s="2" t="s">
        <v>13</v>
      </c>
    </row>
    <row r="247" spans="1:9" x14ac:dyDescent="0.45">
      <c r="A247">
        <f>MONTH(Budget3[[#This Row],[Date]])</f>
        <v>7</v>
      </c>
      <c r="B247" s="1">
        <v>45854</v>
      </c>
      <c r="C247" t="s">
        <v>349</v>
      </c>
      <c r="D247" s="1" t="s">
        <v>29</v>
      </c>
      <c r="F247" s="50">
        <v>108.6</v>
      </c>
      <c r="G247" s="2">
        <f>SUM(G246+Budget3[[#This Row],[Income]]-Budget3[[#This Row],[Credit]])</f>
        <v>-6843.6900000000023</v>
      </c>
      <c r="H247" s="2" t="str">
        <f>TEXT(Budget3[[#This Row],[Date]], "mmm")</f>
        <v>Jul</v>
      </c>
      <c r="I247" s="2" t="s">
        <v>29</v>
      </c>
    </row>
    <row r="248" spans="1:9" x14ac:dyDescent="0.45">
      <c r="A248">
        <f>MONTH(Budget3[[#This Row],[Date]])</f>
        <v>7</v>
      </c>
      <c r="B248" s="1">
        <v>45858</v>
      </c>
      <c r="C248" t="s">
        <v>237</v>
      </c>
      <c r="D248" t="s">
        <v>100</v>
      </c>
      <c r="E248" s="2">
        <v>-775</v>
      </c>
      <c r="G248" s="2">
        <f>SUM(G247+Budget3[[#This Row],[Income]]-Budget3[[#This Row],[Credit]])</f>
        <v>-7618.6900000000023</v>
      </c>
      <c r="H248" s="2" t="str">
        <f>TEXT(Budget3[[#This Row],[Date]], "mmm")</f>
        <v>Jul</v>
      </c>
      <c r="I248" s="2" t="s">
        <v>100</v>
      </c>
    </row>
    <row r="249" spans="1:9" x14ac:dyDescent="0.45">
      <c r="A249">
        <f>MONTH(Budget3[[#This Row],[Date]])</f>
        <v>7</v>
      </c>
      <c r="B249" s="1">
        <v>45858</v>
      </c>
      <c r="C249" t="s">
        <v>68</v>
      </c>
      <c r="D249" t="s">
        <v>100</v>
      </c>
      <c r="E249" s="2">
        <v>-157.44999999999999</v>
      </c>
      <c r="G249" s="2">
        <f>SUM(G248+Budget3[[#This Row],[Income]]-Budget3[[#This Row],[Credit]])</f>
        <v>-7776.1400000000021</v>
      </c>
      <c r="H249" s="2" t="str">
        <f>TEXT(Budget3[[#This Row],[Date]], "mmm")</f>
        <v>Jul</v>
      </c>
      <c r="I249" s="2" t="s">
        <v>100</v>
      </c>
    </row>
    <row r="250" spans="1:9" x14ac:dyDescent="0.45">
      <c r="A250">
        <f>MONTH(Budget3[[#This Row],[Date]])</f>
        <v>7</v>
      </c>
      <c r="B250" s="1">
        <v>45858</v>
      </c>
      <c r="C250" t="s">
        <v>78</v>
      </c>
      <c r="D250" t="s">
        <v>100</v>
      </c>
      <c r="E250" s="2">
        <v>-51.94</v>
      </c>
      <c r="G250" s="2">
        <f>SUM(G249+Budget3[[#This Row],[Income]]-Budget3[[#This Row],[Credit]])</f>
        <v>-7828.0800000000017</v>
      </c>
      <c r="H250" s="2" t="str">
        <f>TEXT(Budget3[[#This Row],[Date]], "mmm")</f>
        <v>Jul</v>
      </c>
      <c r="I250" s="2" t="s">
        <v>100</v>
      </c>
    </row>
    <row r="251" spans="1:9" x14ac:dyDescent="0.45">
      <c r="A251">
        <f>MONTH(Budget3[[#This Row],[Date]])</f>
        <v>7</v>
      </c>
      <c r="B251" s="1">
        <v>45853</v>
      </c>
      <c r="C251" t="s">
        <v>92</v>
      </c>
      <c r="D251" t="s">
        <v>130</v>
      </c>
      <c r="F251" s="2">
        <v>21.64</v>
      </c>
      <c r="G251" s="2">
        <f>SUM(G250+Budget3[[#This Row],[Income]]-Budget3[[#This Row],[Credit]])</f>
        <v>-7849.7200000000021</v>
      </c>
      <c r="H251" s="2" t="str">
        <f>TEXT(Budget3[[#This Row],[Date]], "mmm")</f>
        <v>Jul</v>
      </c>
      <c r="I251" s="2" t="s">
        <v>344</v>
      </c>
    </row>
    <row r="252" spans="1:9" x14ac:dyDescent="0.45">
      <c r="A252">
        <f>MONTH(Budget3[[#This Row],[Date]])</f>
        <v>7</v>
      </c>
      <c r="B252" s="1">
        <v>45854</v>
      </c>
      <c r="C252" t="s">
        <v>214</v>
      </c>
      <c r="D252" t="s">
        <v>39</v>
      </c>
      <c r="F252" s="2">
        <v>9.74</v>
      </c>
      <c r="G252" s="2">
        <f>SUM(G251+Budget3[[#This Row],[Income]]-Budget3[[#This Row],[Credit]])</f>
        <v>-7859.4600000000019</v>
      </c>
      <c r="H252" s="2" t="str">
        <f>TEXT(Budget3[[#This Row],[Date]], "mmm")</f>
        <v>Jul</v>
      </c>
      <c r="I252" s="2" t="s">
        <v>339</v>
      </c>
    </row>
    <row r="253" spans="1:9" x14ac:dyDescent="0.45">
      <c r="A253">
        <f>MONTH(Budget3[[#This Row],[Date]])</f>
        <v>7</v>
      </c>
      <c r="B253" s="1">
        <v>45855</v>
      </c>
      <c r="C253" t="s">
        <v>18</v>
      </c>
      <c r="D253" t="s">
        <v>16</v>
      </c>
      <c r="F253" s="2">
        <v>44.03</v>
      </c>
      <c r="G253" s="2">
        <f>SUM(G252+Budget3[[#This Row],[Income]]-Budget3[[#This Row],[Credit]])</f>
        <v>-7903.4900000000016</v>
      </c>
      <c r="H253" s="2" t="str">
        <f>TEXT(Budget3[[#This Row],[Date]], "mmm")</f>
        <v>Jul</v>
      </c>
      <c r="I253" s="2" t="s">
        <v>16</v>
      </c>
    </row>
    <row r="254" spans="1:9" x14ac:dyDescent="0.45">
      <c r="A254">
        <f>MONTH(Budget3[[#This Row],[Date]])</f>
        <v>7</v>
      </c>
      <c r="B254" s="1">
        <v>45856</v>
      </c>
      <c r="C254" t="s">
        <v>78</v>
      </c>
      <c r="D254" t="s">
        <v>130</v>
      </c>
      <c r="F254" s="2">
        <v>51.94</v>
      </c>
      <c r="G254" s="2">
        <f>SUM(G253+Budget3[[#This Row],[Income]]-Budget3[[#This Row],[Credit]])</f>
        <v>-7955.4300000000012</v>
      </c>
      <c r="H254" s="2" t="str">
        <f>TEXT(Budget3[[#This Row],[Date]], "mmm")</f>
        <v>Jul</v>
      </c>
      <c r="I254" s="2" t="s">
        <v>312</v>
      </c>
    </row>
    <row r="255" spans="1:9" x14ac:dyDescent="0.45">
      <c r="A255">
        <f>MONTH(Budget3[[#This Row],[Date]])</f>
        <v>7</v>
      </c>
      <c r="B255" s="1">
        <v>45856</v>
      </c>
      <c r="C255" t="s">
        <v>68</v>
      </c>
      <c r="D255" t="s">
        <v>130</v>
      </c>
      <c r="F255" s="2">
        <v>231.04</v>
      </c>
      <c r="G255" s="2">
        <f>SUM(G254+Budget3[[#This Row],[Income]]-Budget3[[#This Row],[Credit]])</f>
        <v>-8186.4700000000012</v>
      </c>
      <c r="H255" s="2" t="str">
        <f>TEXT(Budget3[[#This Row],[Date]], "mmm")</f>
        <v>Jul</v>
      </c>
      <c r="I255" s="2" t="s">
        <v>312</v>
      </c>
    </row>
    <row r="256" spans="1:9" x14ac:dyDescent="0.45">
      <c r="A256">
        <f>MONTH(Budget3[[#This Row],[Date]])</f>
        <v>7</v>
      </c>
      <c r="B256" s="1">
        <v>45857</v>
      </c>
      <c r="C256" t="s">
        <v>124</v>
      </c>
      <c r="D256" t="s">
        <v>13</v>
      </c>
      <c r="F256" s="2">
        <v>16.21</v>
      </c>
      <c r="G256" s="2">
        <f>SUM(G255+Budget3[[#This Row],[Income]]-Budget3[[#This Row],[Credit]])</f>
        <v>-8202.68</v>
      </c>
      <c r="H256" s="2" t="str">
        <f>TEXT(Budget3[[#This Row],[Date]], "mmm")</f>
        <v>Jul</v>
      </c>
      <c r="I256" s="2" t="s">
        <v>13</v>
      </c>
    </row>
    <row r="257" spans="1:9" x14ac:dyDescent="0.45">
      <c r="A257">
        <f>MONTH(Budget3[[#This Row],[Date]])</f>
        <v>7</v>
      </c>
      <c r="B257" s="1">
        <v>45857</v>
      </c>
      <c r="C257" t="s">
        <v>151</v>
      </c>
      <c r="D257" t="s">
        <v>39</v>
      </c>
      <c r="F257" s="2">
        <v>14</v>
      </c>
      <c r="G257" s="2">
        <f>SUM(G256+Budget3[[#This Row],[Income]]-Budget3[[#This Row],[Credit]])</f>
        <v>-8216.68</v>
      </c>
      <c r="H257" s="2" t="str">
        <f>TEXT(Budget3[[#This Row],[Date]], "mmm")</f>
        <v>Jul</v>
      </c>
      <c r="I257" s="2" t="s">
        <v>339</v>
      </c>
    </row>
    <row r="258" spans="1:9" x14ac:dyDescent="0.45">
      <c r="A258">
        <f>MONTH(Budget3[[#This Row],[Date]])</f>
        <v>7</v>
      </c>
      <c r="B258" s="1">
        <v>45862</v>
      </c>
      <c r="C258" t="s">
        <v>17</v>
      </c>
      <c r="D258" t="s">
        <v>4</v>
      </c>
      <c r="E258" s="2">
        <v>955.3</v>
      </c>
      <c r="G258" s="2">
        <f>SUM(G257+Budget3[[#This Row],[Income]]-Budget3[[#This Row],[Credit]])</f>
        <v>-7261.38</v>
      </c>
      <c r="H258" s="2" t="str">
        <f>TEXT(Budget3[[#This Row],[Date]], "mmm")</f>
        <v>Jul</v>
      </c>
      <c r="I258" s="2" t="str">
        <f>IF(ISNUMBER(SEARCH("income", Budget3[[#This Row],[Category]])), "Income", "")</f>
        <v>Income</v>
      </c>
    </row>
    <row r="259" spans="1:9" x14ac:dyDescent="0.45">
      <c r="A259">
        <f>MONTH(Budget3[[#This Row],[Date]])</f>
        <v>7</v>
      </c>
      <c r="B259" s="1">
        <v>45863</v>
      </c>
      <c r="C259" t="s">
        <v>18</v>
      </c>
      <c r="D259" t="s">
        <v>16</v>
      </c>
      <c r="F259" s="2">
        <v>47.73</v>
      </c>
      <c r="G259" s="2">
        <f>SUM(G257+Budget3[[#This Row],[Income]]-Budget3[[#This Row],[Credit]])</f>
        <v>-8264.41</v>
      </c>
      <c r="H259" s="2" t="str">
        <f>TEXT(Budget3[[#This Row],[Date]], "mmm")</f>
        <v>Jul</v>
      </c>
      <c r="I259" s="2" t="s">
        <v>16</v>
      </c>
    </row>
    <row r="260" spans="1:9" x14ac:dyDescent="0.45">
      <c r="A260">
        <f>MONTH(Budget3[[#This Row],[Date]])</f>
        <v>7</v>
      </c>
      <c r="B260" s="1">
        <v>45864</v>
      </c>
      <c r="C260" t="s">
        <v>238</v>
      </c>
      <c r="D260" t="s">
        <v>39</v>
      </c>
      <c r="F260" s="2">
        <v>11.66</v>
      </c>
      <c r="G260" s="2">
        <f>SUM(G259+Budget3[[#This Row],[Income]]-Budget3[[#This Row],[Credit]])</f>
        <v>-8276.07</v>
      </c>
      <c r="H260" s="2" t="str">
        <f>TEXT(Budget3[[#This Row],[Date]], "mmm")</f>
        <v>Jul</v>
      </c>
      <c r="I260" s="2" t="s">
        <v>339</v>
      </c>
    </row>
    <row r="261" spans="1:9" x14ac:dyDescent="0.45">
      <c r="A261">
        <f>MONTH(Budget3[[#This Row],[Date]])</f>
        <v>7</v>
      </c>
      <c r="B261" s="1">
        <v>45864</v>
      </c>
      <c r="C261" t="s">
        <v>239</v>
      </c>
      <c r="D261" t="s">
        <v>39</v>
      </c>
      <c r="F261" s="2">
        <v>22.64</v>
      </c>
      <c r="G261" s="2">
        <f>SUM(G260+Budget3[[#This Row],[Income]]-Budget3[[#This Row],[Credit]])</f>
        <v>-8298.7099999999991</v>
      </c>
      <c r="H261" s="2" t="str">
        <f>TEXT(Budget3[[#This Row],[Date]], "mmm")</f>
        <v>Jul</v>
      </c>
      <c r="I261" s="2" t="s">
        <v>339</v>
      </c>
    </row>
    <row r="262" spans="1:9" x14ac:dyDescent="0.45">
      <c r="A262">
        <f>MONTH(Budget3[[#This Row],[Date]])</f>
        <v>7</v>
      </c>
      <c r="B262" s="1">
        <v>45864</v>
      </c>
      <c r="C262" t="s">
        <v>239</v>
      </c>
      <c r="D262" t="s">
        <v>39</v>
      </c>
      <c r="F262" s="2">
        <v>6.06</v>
      </c>
      <c r="G262" s="2">
        <f>SUM(G261+Budget3[[#This Row],[Income]]-Budget3[[#This Row],[Credit]])</f>
        <v>-8304.7699999999986</v>
      </c>
      <c r="H262" s="2" t="str">
        <f>TEXT(Budget3[[#This Row],[Date]], "mmm")</f>
        <v>Jul</v>
      </c>
      <c r="I262" s="2" t="s">
        <v>339</v>
      </c>
    </row>
    <row r="263" spans="1:9" x14ac:dyDescent="0.45">
      <c r="A263">
        <f>MONTH(Budget3[[#This Row],[Date]])</f>
        <v>7</v>
      </c>
      <c r="B263" s="1">
        <v>45865</v>
      </c>
      <c r="C263" t="s">
        <v>67</v>
      </c>
      <c r="D263" t="s">
        <v>39</v>
      </c>
      <c r="F263" s="2">
        <v>10.28</v>
      </c>
      <c r="G263" s="2">
        <f>SUM(G262+Budget3[[#This Row],[Income]]-Budget3[[#This Row],[Credit]])</f>
        <v>-8315.0499999999993</v>
      </c>
      <c r="H263" s="2" t="str">
        <f>TEXT(Budget3[[#This Row],[Date]], "mmm")</f>
        <v>Jul</v>
      </c>
      <c r="I263" s="2" t="s">
        <v>339</v>
      </c>
    </row>
    <row r="264" spans="1:9" x14ac:dyDescent="0.45">
      <c r="A264">
        <f>MONTH(Budget3[[#This Row],[Date]])</f>
        <v>7</v>
      </c>
      <c r="B264" s="1">
        <v>45867</v>
      </c>
      <c r="C264" t="s">
        <v>229</v>
      </c>
      <c r="D264" t="s">
        <v>130</v>
      </c>
      <c r="F264" s="2">
        <v>25.92</v>
      </c>
      <c r="G264" s="2">
        <f>SUM(G263+Budget3[[#This Row],[Income]]-Budget3[[#This Row],[Credit]])</f>
        <v>-8340.9699999999993</v>
      </c>
      <c r="H264" s="2" t="str">
        <f>TEXT(Budget3[[#This Row],[Date]], "mmm")</f>
        <v>Jul</v>
      </c>
      <c r="I264" s="2" t="s">
        <v>312</v>
      </c>
    </row>
    <row r="265" spans="1:9" x14ac:dyDescent="0.45">
      <c r="A265">
        <f>MONTH(Budget3[[#This Row],[Date]])</f>
        <v>7</v>
      </c>
      <c r="B265" s="1">
        <v>45869</v>
      </c>
      <c r="C265" t="s">
        <v>240</v>
      </c>
      <c r="D265" t="s">
        <v>130</v>
      </c>
      <c r="F265" s="2">
        <v>42.57</v>
      </c>
      <c r="G265" s="2">
        <f>SUM(G264+Budget3[[#This Row],[Income]]-Budget3[[#This Row],[Credit]])</f>
        <v>-8383.5399999999991</v>
      </c>
      <c r="H265" s="2" t="str">
        <f>TEXT(Budget3[[#This Row],[Date]], "mmm")</f>
        <v>Jul</v>
      </c>
      <c r="I265" s="2" t="s">
        <v>342</v>
      </c>
    </row>
    <row r="266" spans="1:9" x14ac:dyDescent="0.45">
      <c r="A266">
        <f>MONTH(Budget3[[#This Row],[Date]])</f>
        <v>7</v>
      </c>
      <c r="B266" s="1">
        <v>45869</v>
      </c>
      <c r="C266" t="s">
        <v>349</v>
      </c>
      <c r="D266" s="1" t="s">
        <v>29</v>
      </c>
      <c r="F266" s="50">
        <v>486.97</v>
      </c>
      <c r="G266" s="2">
        <f>SUM(G265+Budget3[[#This Row],[Income]]-Budget3[[#This Row],[Credit]])</f>
        <v>-8870.5099999999984</v>
      </c>
      <c r="H266" s="2" t="str">
        <f>TEXT(Budget3[[#This Row],[Date]], "mmm")</f>
        <v>Jul</v>
      </c>
      <c r="I266" s="2" t="s">
        <v>29</v>
      </c>
    </row>
    <row r="267" spans="1:9" x14ac:dyDescent="0.45">
      <c r="A267">
        <f>MONTH(Budget3[[#This Row],[Date]])</f>
        <v>7</v>
      </c>
      <c r="B267" s="1">
        <v>45869</v>
      </c>
      <c r="C267" s="1" t="s">
        <v>8</v>
      </c>
      <c r="D267" s="1" t="s">
        <v>9</v>
      </c>
      <c r="F267" s="11">
        <v>500</v>
      </c>
      <c r="G267" s="2">
        <f>SUM(G266+Budget3[[#This Row],[Income]]-Budget3[[#This Row],[Credit]])</f>
        <v>-9370.5099999999984</v>
      </c>
      <c r="H267" s="2" t="str">
        <f>TEXT(Budget3[[#This Row],[Date]], "mmm")</f>
        <v>Jul</v>
      </c>
      <c r="I267" s="2" t="s">
        <v>9</v>
      </c>
    </row>
    <row r="268" spans="1:9" ht="14.65" thickBot="1" x14ac:dyDescent="0.5">
      <c r="A268" s="27">
        <f>MONTH(Budget3[[#This Row],[Date]])</f>
        <v>7</v>
      </c>
      <c r="B268" s="28">
        <v>45869</v>
      </c>
      <c r="C268" s="27" t="s">
        <v>32</v>
      </c>
      <c r="D268" s="27" t="s">
        <v>35</v>
      </c>
      <c r="E268" s="29"/>
      <c r="F268" s="30">
        <v>27.65</v>
      </c>
      <c r="G268" s="29">
        <f>SUM(G267+Budget3[[#This Row],[Income]]-Budget3[[#This Row],[Credit]])</f>
        <v>-9398.159999999998</v>
      </c>
      <c r="H268" s="2" t="str">
        <f>TEXT(Budget3[[#This Row],[Date]], "mmm")</f>
        <v>Jul</v>
      </c>
      <c r="I268" s="2" t="s">
        <v>9</v>
      </c>
    </row>
    <row r="269" spans="1:9" ht="14.65" thickTop="1" x14ac:dyDescent="0.45">
      <c r="A269">
        <f>MONTH(Budget3[[#This Row],[Date]])</f>
        <v>8</v>
      </c>
      <c r="B269" s="1">
        <v>45870</v>
      </c>
      <c r="C269" t="s">
        <v>18</v>
      </c>
      <c r="D269" t="s">
        <v>16</v>
      </c>
      <c r="F269" s="2">
        <v>35.159999999999997</v>
      </c>
      <c r="G269" s="2">
        <f>SUM(G268+Budget3[[#This Row],[Income]]-Budget3[[#This Row],[Credit]])</f>
        <v>-9433.3199999999979</v>
      </c>
      <c r="H269" s="2" t="str">
        <f>TEXT(Budget3[[#This Row],[Date]], "mmm")</f>
        <v>Aug</v>
      </c>
      <c r="I269" s="2" t="s">
        <v>16</v>
      </c>
    </row>
    <row r="270" spans="1:9" x14ac:dyDescent="0.45">
      <c r="A270">
        <f>MONTH(Budget3[[#This Row],[Date]])</f>
        <v>8</v>
      </c>
      <c r="B270" s="1">
        <v>45871</v>
      </c>
      <c r="C270" t="s">
        <v>120</v>
      </c>
      <c r="D270" t="s">
        <v>13</v>
      </c>
      <c r="F270" s="2">
        <v>1.07</v>
      </c>
      <c r="G270" s="2">
        <f>SUM(G269+Budget3[[#This Row],[Income]]-Budget3[[#This Row],[Credit]])</f>
        <v>-9434.3899999999976</v>
      </c>
      <c r="H270" s="2" t="str">
        <f>TEXT(Budget3[[#This Row],[Date]], "mmm")</f>
        <v>Aug</v>
      </c>
      <c r="I270" s="2" t="s">
        <v>13</v>
      </c>
    </row>
    <row r="271" spans="1:9" x14ac:dyDescent="0.45">
      <c r="A271">
        <f>MONTH(Budget3[[#This Row],[Date]])</f>
        <v>8</v>
      </c>
      <c r="B271" s="1">
        <v>45871</v>
      </c>
      <c r="C271" t="s">
        <v>120</v>
      </c>
      <c r="D271" t="s">
        <v>13</v>
      </c>
      <c r="F271" s="2">
        <v>1.07</v>
      </c>
      <c r="G271" s="2">
        <f>SUM(G270+Budget3[[#This Row],[Income]]-Budget3[[#This Row],[Credit]])</f>
        <v>-9435.4599999999973</v>
      </c>
      <c r="H271" s="2" t="str">
        <f>TEXT(Budget3[[#This Row],[Date]], "mmm")</f>
        <v>Aug</v>
      </c>
      <c r="I271" s="2" t="s">
        <v>13</v>
      </c>
    </row>
    <row r="272" spans="1:9" x14ac:dyDescent="0.45">
      <c r="A272">
        <f>MONTH(Budget3[[#This Row],[Date]])</f>
        <v>8</v>
      </c>
      <c r="B272" s="1">
        <v>45872</v>
      </c>
      <c r="C272" t="s">
        <v>241</v>
      </c>
      <c r="D272" t="s">
        <v>39</v>
      </c>
      <c r="F272" s="2">
        <v>72.72</v>
      </c>
      <c r="G272" s="2">
        <f>SUM(G271+Budget3[[#This Row],[Income]]-Budget3[[#This Row],[Credit]])</f>
        <v>-9508.1799999999967</v>
      </c>
      <c r="H272" s="2" t="str">
        <f>TEXT(Budget3[[#This Row],[Date]], "mmm")</f>
        <v>Aug</v>
      </c>
      <c r="I272" s="2" t="s">
        <v>339</v>
      </c>
    </row>
    <row r="273" spans="1:9" x14ac:dyDescent="0.45">
      <c r="A273">
        <f>MONTH(Budget3[[#This Row],[Date]])</f>
        <v>8</v>
      </c>
      <c r="B273" s="1">
        <v>45872</v>
      </c>
      <c r="C273" t="s">
        <v>162</v>
      </c>
      <c r="D273" t="s">
        <v>39</v>
      </c>
      <c r="F273" s="2">
        <v>25</v>
      </c>
      <c r="G273" s="2">
        <f>SUM(G272+Budget3[[#This Row],[Income]]-Budget3[[#This Row],[Credit]])</f>
        <v>-9533.1799999999967</v>
      </c>
      <c r="H273" s="2" t="str">
        <f>TEXT(Budget3[[#This Row],[Date]], "mmm")</f>
        <v>Aug</v>
      </c>
      <c r="I273" s="2" t="s">
        <v>339</v>
      </c>
    </row>
    <row r="274" spans="1:9" x14ac:dyDescent="0.45">
      <c r="A274">
        <f>MONTH(Budget3[[#This Row],[Date]])</f>
        <v>8</v>
      </c>
      <c r="B274" s="1">
        <v>45873</v>
      </c>
      <c r="C274" t="s">
        <v>147</v>
      </c>
      <c r="D274" t="s">
        <v>130</v>
      </c>
      <c r="F274" s="2">
        <v>108.25</v>
      </c>
      <c r="G274" s="2">
        <f>SUM(G273+Budget3[[#This Row],[Income]]-Budget3[[#This Row],[Credit]])</f>
        <v>-9641.4299999999967</v>
      </c>
      <c r="H274" s="2" t="str">
        <f>TEXT(Budget3[[#This Row],[Date]], "mmm")</f>
        <v>Aug</v>
      </c>
      <c r="I274" s="2" t="s">
        <v>312</v>
      </c>
    </row>
    <row r="275" spans="1:9" x14ac:dyDescent="0.45">
      <c r="A275">
        <f>MONTH(Budget3[[#This Row],[Date]])</f>
        <v>8</v>
      </c>
      <c r="B275" s="1">
        <v>45875</v>
      </c>
      <c r="C275" t="s">
        <v>242</v>
      </c>
      <c r="D275" t="s">
        <v>39</v>
      </c>
      <c r="F275" s="2">
        <v>12.07</v>
      </c>
      <c r="G275" s="2">
        <f>SUM(G274+Budget3[[#This Row],[Income]]-Budget3[[#This Row],[Credit]])</f>
        <v>-9653.4999999999964</v>
      </c>
      <c r="H275" s="2" t="str">
        <f>TEXT(Budget3[[#This Row],[Date]], "mmm")</f>
        <v>Aug</v>
      </c>
      <c r="I275" s="2" t="s">
        <v>339</v>
      </c>
    </row>
    <row r="276" spans="1:9" x14ac:dyDescent="0.45">
      <c r="A276">
        <f>MONTH(Budget3[[#This Row],[Date]])</f>
        <v>8</v>
      </c>
      <c r="B276" s="1">
        <v>45877</v>
      </c>
      <c r="C276" t="s">
        <v>162</v>
      </c>
      <c r="D276" t="s">
        <v>39</v>
      </c>
      <c r="F276" s="2">
        <v>4.7</v>
      </c>
      <c r="G276" s="2">
        <f>SUM(G275+Budget3[[#This Row],[Income]]-Budget3[[#This Row],[Credit]])</f>
        <v>-9658.1999999999971</v>
      </c>
      <c r="H276" s="2" t="str">
        <f>TEXT(Budget3[[#This Row],[Date]], "mmm")</f>
        <v>Aug</v>
      </c>
      <c r="I276" s="2" t="s">
        <v>339</v>
      </c>
    </row>
    <row r="277" spans="1:9" x14ac:dyDescent="0.45">
      <c r="A277">
        <f>MONTH(Budget3[[#This Row],[Date]])</f>
        <v>8</v>
      </c>
      <c r="B277" s="1">
        <v>45877</v>
      </c>
      <c r="C277" t="s">
        <v>220</v>
      </c>
      <c r="D277" t="s">
        <v>130</v>
      </c>
      <c r="F277" s="2">
        <v>219.1</v>
      </c>
      <c r="G277" s="2">
        <f>SUM(G276+Budget3[[#This Row],[Income]]-Budget3[[#This Row],[Credit]])</f>
        <v>-9877.2999999999975</v>
      </c>
      <c r="H277" s="2" t="str">
        <f>TEXT(Budget3[[#This Row],[Date]], "mmm")</f>
        <v>Aug</v>
      </c>
      <c r="I277" s="2" t="s">
        <v>343</v>
      </c>
    </row>
    <row r="278" spans="1:9" x14ac:dyDescent="0.45">
      <c r="A278">
        <f>MONTH(Budget3[[#This Row],[Date]])</f>
        <v>8</v>
      </c>
      <c r="B278" s="1">
        <v>45877</v>
      </c>
      <c r="C278" t="s">
        <v>243</v>
      </c>
      <c r="D278" t="s">
        <v>39</v>
      </c>
      <c r="F278" s="2">
        <v>19.11</v>
      </c>
      <c r="G278" s="2">
        <f>SUM(G277+Budget3[[#This Row],[Income]]-Budget3[[#This Row],[Credit]])</f>
        <v>-9896.409999999998</v>
      </c>
      <c r="H278" s="2" t="str">
        <f>TEXT(Budget3[[#This Row],[Date]], "mmm")</f>
        <v>Aug</v>
      </c>
      <c r="I278" s="2" t="s">
        <v>339</v>
      </c>
    </row>
    <row r="279" spans="1:9" x14ac:dyDescent="0.45">
      <c r="A279">
        <f>MONTH(Budget3[[#This Row],[Date]])</f>
        <v>8</v>
      </c>
      <c r="B279" s="1">
        <v>45879</v>
      </c>
      <c r="C279" t="s">
        <v>244</v>
      </c>
      <c r="D279" t="s">
        <v>39</v>
      </c>
      <c r="F279" s="2">
        <v>13.17</v>
      </c>
      <c r="G279" s="2">
        <f>SUM(G278+Budget3[[#This Row],[Income]]-Budget3[[#This Row],[Credit]])</f>
        <v>-9909.5799999999981</v>
      </c>
      <c r="H279" s="2" t="str">
        <f>TEXT(Budget3[[#This Row],[Date]], "mmm")</f>
        <v>Aug</v>
      </c>
      <c r="I279" s="2" t="s">
        <v>339</v>
      </c>
    </row>
    <row r="280" spans="1:9" x14ac:dyDescent="0.45">
      <c r="A280">
        <f>MONTH(Budget3[[#This Row],[Date]])</f>
        <v>8</v>
      </c>
      <c r="B280" s="1">
        <v>45879</v>
      </c>
      <c r="C280" t="s">
        <v>245</v>
      </c>
      <c r="D280" t="s">
        <v>130</v>
      </c>
      <c r="F280" s="2">
        <v>137.94</v>
      </c>
      <c r="G280" s="2">
        <f>SUM(G279+Budget3[[#This Row],[Income]]-Budget3[[#This Row],[Credit]])</f>
        <v>-10047.519999999999</v>
      </c>
      <c r="H280" s="2" t="str">
        <f>TEXT(Budget3[[#This Row],[Date]], "mmm")</f>
        <v>Aug</v>
      </c>
      <c r="I280" s="2" t="s">
        <v>343</v>
      </c>
    </row>
    <row r="281" spans="1:9" x14ac:dyDescent="0.45">
      <c r="A281">
        <f>MONTH(Budget3[[#This Row],[Date]])</f>
        <v>8</v>
      </c>
      <c r="B281" s="1">
        <v>45879</v>
      </c>
      <c r="C281" t="s">
        <v>246</v>
      </c>
      <c r="D281" t="s">
        <v>13</v>
      </c>
      <c r="F281" s="2">
        <v>53.03</v>
      </c>
      <c r="G281" s="2">
        <f>SUM(G280+Budget3[[#This Row],[Income]]-Budget3[[#This Row],[Credit]])</f>
        <v>-10100.549999999999</v>
      </c>
      <c r="H281" s="2" t="str">
        <f>TEXT(Budget3[[#This Row],[Date]], "mmm")</f>
        <v>Aug</v>
      </c>
      <c r="I281" s="2" t="s">
        <v>13</v>
      </c>
    </row>
    <row r="282" spans="1:9" x14ac:dyDescent="0.45">
      <c r="A282">
        <f>MONTH(Budget3[[#This Row],[Date]])</f>
        <v>8</v>
      </c>
      <c r="B282" s="1">
        <v>45879</v>
      </c>
      <c r="C282" t="s">
        <v>74</v>
      </c>
      <c r="D282" t="s">
        <v>13</v>
      </c>
      <c r="F282" s="2">
        <v>0.64</v>
      </c>
      <c r="G282" s="2">
        <f>SUM(G281+Budget3[[#This Row],[Income]]-Budget3[[#This Row],[Credit]])</f>
        <v>-10101.189999999999</v>
      </c>
      <c r="H282" s="2" t="str">
        <f>TEXT(Budget3[[#This Row],[Date]], "mmm")</f>
        <v>Aug</v>
      </c>
      <c r="I282" s="2" t="s">
        <v>13</v>
      </c>
    </row>
    <row r="283" spans="1:9" x14ac:dyDescent="0.45">
      <c r="A283">
        <f>MONTH(Budget3[[#This Row],[Date]])</f>
        <v>8</v>
      </c>
      <c r="B283" s="1">
        <v>45880</v>
      </c>
      <c r="C283" t="s">
        <v>18</v>
      </c>
      <c r="D283" t="s">
        <v>13</v>
      </c>
      <c r="F283" s="2">
        <v>38.14</v>
      </c>
      <c r="G283" s="2">
        <f>SUM(G282+Budget3[[#This Row],[Income]]-Budget3[[#This Row],[Credit]])</f>
        <v>-10139.329999999998</v>
      </c>
      <c r="H283" s="2" t="str">
        <f>TEXT(Budget3[[#This Row],[Date]], "mmm")</f>
        <v>Aug</v>
      </c>
      <c r="I283" s="2" t="s">
        <v>13</v>
      </c>
    </row>
    <row r="284" spans="1:9" x14ac:dyDescent="0.45">
      <c r="A284">
        <f>MONTH(Budget3[[#This Row],[Date]])</f>
        <v>8</v>
      </c>
      <c r="B284" s="1">
        <v>45876</v>
      </c>
      <c r="C284" t="s">
        <v>17</v>
      </c>
      <c r="D284" t="s">
        <v>4</v>
      </c>
      <c r="E284" s="2">
        <v>1049.03</v>
      </c>
      <c r="G284" s="2">
        <f>SUM(G283+Budget3[[#This Row],[Income]]-Budget3[[#This Row],[Credit]])</f>
        <v>-9090.2999999999975</v>
      </c>
      <c r="H284" s="2" t="str">
        <f>TEXT(Budget3[[#This Row],[Date]], "mmm")</f>
        <v>Aug</v>
      </c>
      <c r="I284" s="2" t="str">
        <f>IF(ISNUMBER(SEARCH("income", Budget3[[#This Row],[Category]])), "Income", "")</f>
        <v>Income</v>
      </c>
    </row>
    <row r="285" spans="1:9" x14ac:dyDescent="0.45">
      <c r="A285">
        <f>MONTH(Budget3[[#This Row],[Date]])</f>
        <v>8</v>
      </c>
      <c r="B285" s="1">
        <v>45879</v>
      </c>
      <c r="C285" t="s">
        <v>106</v>
      </c>
      <c r="D285" t="s">
        <v>100</v>
      </c>
      <c r="E285" s="2">
        <v>-42</v>
      </c>
      <c r="G285" s="2">
        <f>SUM(G284+Budget3[[#This Row],[Income]]-Budget3[[#This Row],[Credit]])</f>
        <v>-9132.2999999999975</v>
      </c>
      <c r="H285" s="2" t="str">
        <f>TEXT(Budget3[[#This Row],[Date]], "mmm")</f>
        <v>Aug</v>
      </c>
      <c r="I285" s="2" t="s">
        <v>100</v>
      </c>
    </row>
    <row r="286" spans="1:9" x14ac:dyDescent="0.45">
      <c r="A286">
        <f>MONTH(Budget3[[#This Row],[Date]])</f>
        <v>8</v>
      </c>
      <c r="B286" s="1">
        <v>45880</v>
      </c>
      <c r="C286" t="s">
        <v>247</v>
      </c>
      <c r="D286" t="s">
        <v>4</v>
      </c>
      <c r="E286" s="2">
        <v>68</v>
      </c>
      <c r="G286" s="2">
        <f>SUM(G285+Budget3[[#This Row],[Income]]-Budget3[[#This Row],[Credit]])</f>
        <v>-9064.2999999999975</v>
      </c>
      <c r="H286" s="2" t="str">
        <f>TEXT(Budget3[[#This Row],[Date]], "mmm")</f>
        <v>Aug</v>
      </c>
      <c r="I286" s="2" t="s">
        <v>346</v>
      </c>
    </row>
    <row r="287" spans="1:9" x14ac:dyDescent="0.45">
      <c r="A287">
        <f>MONTH(Budget3[[#This Row],[Date]])</f>
        <v>8</v>
      </c>
      <c r="B287" s="1">
        <v>45886</v>
      </c>
      <c r="C287" t="s">
        <v>349</v>
      </c>
      <c r="D287" s="1" t="s">
        <v>29</v>
      </c>
      <c r="F287" s="50">
        <v>809.66</v>
      </c>
      <c r="G287" s="2">
        <f>SUM(G286+Budget3[[#This Row],[Income]]-Budget3[[#This Row],[Credit]])</f>
        <v>-9873.9599999999973</v>
      </c>
      <c r="H287" s="2" t="str">
        <f>TEXT(Budget3[[#This Row],[Date]], "mmm")</f>
        <v>Aug</v>
      </c>
      <c r="I287" s="2" t="s">
        <v>29</v>
      </c>
    </row>
    <row r="288" spans="1:9" x14ac:dyDescent="0.45">
      <c r="A288">
        <f>MONTH(Budget3[[#This Row],[Date]])</f>
        <v>8</v>
      </c>
      <c r="B288" s="1">
        <v>45884</v>
      </c>
      <c r="C288" t="s">
        <v>92</v>
      </c>
      <c r="D288" t="s">
        <v>130</v>
      </c>
      <c r="F288" s="2">
        <v>21.64</v>
      </c>
      <c r="G288" s="2">
        <f>SUM(G287+Budget3[[#This Row],[Income]]-Budget3[[#This Row],[Credit]])</f>
        <v>-9895.5999999999967</v>
      </c>
      <c r="H288" s="2" t="str">
        <f>TEXT(Budget3[[#This Row],[Date]], "mmm")</f>
        <v>Aug</v>
      </c>
      <c r="I288" s="2" t="s">
        <v>344</v>
      </c>
    </row>
    <row r="289" spans="1:9" x14ac:dyDescent="0.45">
      <c r="A289">
        <f>MONTH(Budget3[[#This Row],[Date]])</f>
        <v>8</v>
      </c>
      <c r="B289" s="1">
        <v>45886</v>
      </c>
      <c r="C289" t="s">
        <v>248</v>
      </c>
      <c r="D289" t="s">
        <v>39</v>
      </c>
      <c r="F289" s="2">
        <v>43</v>
      </c>
      <c r="G289" s="2">
        <f>SUM(G288+Budget3[[#This Row],[Income]]-Budget3[[#This Row],[Credit]])</f>
        <v>-9938.5999999999967</v>
      </c>
      <c r="H289" s="2" t="str">
        <f>TEXT(Budget3[[#This Row],[Date]], "mmm")</f>
        <v>Aug</v>
      </c>
      <c r="I289" s="2" t="s">
        <v>339</v>
      </c>
    </row>
    <row r="290" spans="1:9" x14ac:dyDescent="0.45">
      <c r="A290">
        <f>MONTH(Budget3[[#This Row],[Date]])</f>
        <v>8</v>
      </c>
      <c r="B290" s="1">
        <v>45886</v>
      </c>
      <c r="C290" t="s">
        <v>229</v>
      </c>
      <c r="D290" t="s">
        <v>130</v>
      </c>
      <c r="F290" s="2">
        <v>119.02</v>
      </c>
      <c r="G290" s="2">
        <f>SUM(G289+Budget3[[#This Row],[Income]]-Budget3[[#This Row],[Credit]])</f>
        <v>-10057.619999999997</v>
      </c>
      <c r="H290" s="2" t="str">
        <f>TEXT(Budget3[[#This Row],[Date]], "mmm")</f>
        <v>Aug</v>
      </c>
      <c r="I290" s="2" t="s">
        <v>312</v>
      </c>
    </row>
    <row r="291" spans="1:9" x14ac:dyDescent="0.45">
      <c r="A291">
        <f>MONTH(Budget3[[#This Row],[Date]])</f>
        <v>8</v>
      </c>
      <c r="B291" s="1">
        <v>45886</v>
      </c>
      <c r="C291" t="s">
        <v>36</v>
      </c>
      <c r="D291" t="s">
        <v>39</v>
      </c>
      <c r="F291" s="2">
        <v>12.02</v>
      </c>
      <c r="G291" s="2">
        <f>SUM(G290+Budget3[[#This Row],[Income]]-Budget3[[#This Row],[Credit]])</f>
        <v>-10069.639999999998</v>
      </c>
      <c r="H291" s="2" t="str">
        <f>TEXT(Budget3[[#This Row],[Date]], "mmm")</f>
        <v>Aug</v>
      </c>
      <c r="I291" s="2" t="s">
        <v>339</v>
      </c>
    </row>
    <row r="292" spans="1:9" x14ac:dyDescent="0.45">
      <c r="A292">
        <f>MONTH(Budget3[[#This Row],[Date]])</f>
        <v>8</v>
      </c>
      <c r="B292" s="1">
        <v>45890</v>
      </c>
      <c r="C292" t="s">
        <v>249</v>
      </c>
      <c r="D292" t="s">
        <v>4</v>
      </c>
      <c r="E292" s="2">
        <v>30</v>
      </c>
      <c r="G292" s="2">
        <f>SUM(G291+Budget3[[#This Row],[Income]]-Budget3[[#This Row],[Credit]])</f>
        <v>-10039.639999999998</v>
      </c>
      <c r="H292" s="2" t="str">
        <f>TEXT(Budget3[[#This Row],[Date]], "mmm")</f>
        <v>Aug</v>
      </c>
      <c r="I292" s="2" t="s">
        <v>346</v>
      </c>
    </row>
    <row r="293" spans="1:9" x14ac:dyDescent="0.45">
      <c r="A293">
        <f>MONTH(Budget3[[#This Row],[Date]])</f>
        <v>8</v>
      </c>
      <c r="B293" s="1">
        <v>45890</v>
      </c>
      <c r="C293" t="s">
        <v>17</v>
      </c>
      <c r="D293" t="s">
        <v>4</v>
      </c>
      <c r="E293" s="2">
        <v>989.31</v>
      </c>
      <c r="G293" s="2">
        <f>SUM(G292+Budget3[[#This Row],[Income]]-Budget3[[#This Row],[Credit]])</f>
        <v>-9050.3299999999981</v>
      </c>
      <c r="H293" s="2" t="str">
        <f>TEXT(Budget3[[#This Row],[Date]], "mmm")</f>
        <v>Aug</v>
      </c>
      <c r="I293" s="2" t="str">
        <f>IF(ISNUMBER(SEARCH("income", Budget3[[#This Row],[Category]])), "Income", "")</f>
        <v>Income</v>
      </c>
    </row>
    <row r="294" spans="1:9" x14ac:dyDescent="0.45">
      <c r="A294">
        <f>MONTH(Budget3[[#This Row],[Date]])</f>
        <v>8</v>
      </c>
      <c r="B294" s="1">
        <v>45887</v>
      </c>
      <c r="C294" t="s">
        <v>18</v>
      </c>
      <c r="D294" t="s">
        <v>16</v>
      </c>
      <c r="F294" s="2">
        <v>28.42</v>
      </c>
      <c r="G294" s="2">
        <f>SUM(G293+Budget3[[#This Row],[Income]]-Budget3[[#This Row],[Credit]])</f>
        <v>-9078.7499999999982</v>
      </c>
      <c r="H294" s="2" t="str">
        <f>TEXT(Budget3[[#This Row],[Date]], "mmm")</f>
        <v>Aug</v>
      </c>
      <c r="I294" s="2" t="s">
        <v>16</v>
      </c>
    </row>
    <row r="295" spans="1:9" x14ac:dyDescent="0.45">
      <c r="A295">
        <f>MONTH(Budget3[[#This Row],[Date]])</f>
        <v>8</v>
      </c>
      <c r="B295" s="1">
        <v>45887</v>
      </c>
      <c r="C295" t="s">
        <v>250</v>
      </c>
      <c r="D295" t="s">
        <v>39</v>
      </c>
      <c r="F295" s="2">
        <v>24.6</v>
      </c>
      <c r="G295" s="2">
        <f>SUM(G294+Budget3[[#This Row],[Income]]-Budget3[[#This Row],[Credit]])</f>
        <v>-9103.3499999999985</v>
      </c>
      <c r="H295" s="2" t="str">
        <f>TEXT(Budget3[[#This Row],[Date]], "mmm")</f>
        <v>Aug</v>
      </c>
      <c r="I295" s="2" t="s">
        <v>339</v>
      </c>
    </row>
    <row r="296" spans="1:9" x14ac:dyDescent="0.45">
      <c r="A296">
        <f>MONTH(Budget3[[#This Row],[Date]])</f>
        <v>8</v>
      </c>
      <c r="B296" s="1">
        <v>45888</v>
      </c>
      <c r="C296" t="s">
        <v>251</v>
      </c>
      <c r="D296" t="s">
        <v>39</v>
      </c>
      <c r="F296" s="2">
        <v>24.88</v>
      </c>
      <c r="G296" s="2">
        <f>SUM(G295+Budget3[[#This Row],[Income]]-Budget3[[#This Row],[Credit]])</f>
        <v>-9128.2299999999977</v>
      </c>
      <c r="H296" s="2" t="str">
        <f>TEXT(Budget3[[#This Row],[Date]], "mmm")</f>
        <v>Aug</v>
      </c>
      <c r="I296" s="2" t="s">
        <v>339</v>
      </c>
    </row>
    <row r="297" spans="1:9" x14ac:dyDescent="0.45">
      <c r="A297">
        <f>MONTH(Budget3[[#This Row],[Date]])</f>
        <v>8</v>
      </c>
      <c r="B297" s="1">
        <v>45890</v>
      </c>
      <c r="C297" t="s">
        <v>252</v>
      </c>
      <c r="D297" t="s">
        <v>13</v>
      </c>
      <c r="F297" s="2">
        <v>21.6</v>
      </c>
      <c r="G297" s="2">
        <f>SUM(G296+Budget3[[#This Row],[Income]]-Budget3[[#This Row],[Credit]])</f>
        <v>-9149.8299999999981</v>
      </c>
      <c r="H297" s="2" t="str">
        <f>TEXT(Budget3[[#This Row],[Date]], "mmm")</f>
        <v>Aug</v>
      </c>
      <c r="I297" s="2" t="s">
        <v>13</v>
      </c>
    </row>
    <row r="298" spans="1:9" x14ac:dyDescent="0.45">
      <c r="A298">
        <f>MONTH(Budget3[[#This Row],[Date]])</f>
        <v>8</v>
      </c>
      <c r="B298" s="1">
        <v>45890</v>
      </c>
      <c r="C298" t="s">
        <v>48</v>
      </c>
      <c r="D298" t="s">
        <v>39</v>
      </c>
      <c r="F298" s="2">
        <v>6.5</v>
      </c>
      <c r="G298" s="2">
        <f>SUM(G297+Budget3[[#This Row],[Income]]-Budget3[[#This Row],[Credit]])</f>
        <v>-9156.3299999999981</v>
      </c>
      <c r="H298" s="2" t="str">
        <f>TEXT(Budget3[[#This Row],[Date]], "mmm")</f>
        <v>Aug</v>
      </c>
      <c r="I298" s="2" t="s">
        <v>339</v>
      </c>
    </row>
    <row r="299" spans="1:9" x14ac:dyDescent="0.45">
      <c r="A299">
        <f>MONTH(Budget3[[#This Row],[Date]])</f>
        <v>8</v>
      </c>
      <c r="B299" s="1">
        <v>45891</v>
      </c>
      <c r="C299" t="s">
        <v>229</v>
      </c>
      <c r="D299" t="s">
        <v>130</v>
      </c>
      <c r="F299" s="2">
        <v>58.32</v>
      </c>
      <c r="G299" s="2">
        <f>SUM(G298+Budget3[[#This Row],[Income]]-Budget3[[#This Row],[Credit]])</f>
        <v>-9214.6499999999978</v>
      </c>
      <c r="H299" s="2" t="str">
        <f>TEXT(Budget3[[#This Row],[Date]], "mmm")</f>
        <v>Aug</v>
      </c>
      <c r="I299" s="2" t="s">
        <v>312</v>
      </c>
    </row>
    <row r="300" spans="1:9" x14ac:dyDescent="0.45">
      <c r="A300">
        <f>MONTH(Budget3[[#This Row],[Date]])</f>
        <v>8</v>
      </c>
      <c r="B300" s="1">
        <v>45891</v>
      </c>
      <c r="C300" t="s">
        <v>253</v>
      </c>
      <c r="D300" t="s">
        <v>13</v>
      </c>
      <c r="F300" s="2">
        <v>29.22</v>
      </c>
      <c r="G300" s="2">
        <f>SUM(G299+Budget3[[#This Row],[Income]]-Budget3[[#This Row],[Credit]])</f>
        <v>-9243.8699999999972</v>
      </c>
      <c r="H300" s="2" t="str">
        <f>TEXT(Budget3[[#This Row],[Date]], "mmm")</f>
        <v>Aug</v>
      </c>
      <c r="I300" s="2" t="s">
        <v>13</v>
      </c>
    </row>
    <row r="301" spans="1:9" x14ac:dyDescent="0.45">
      <c r="A301">
        <f>MONTH(Budget3[[#This Row],[Date]])</f>
        <v>8</v>
      </c>
      <c r="B301" s="1">
        <v>45891</v>
      </c>
      <c r="C301" t="s">
        <v>254</v>
      </c>
      <c r="D301" t="s">
        <v>39</v>
      </c>
      <c r="F301" s="2">
        <v>19.149999999999999</v>
      </c>
      <c r="G301" s="2">
        <f>SUM(G300+Budget3[[#This Row],[Income]]-Budget3[[#This Row],[Credit]])</f>
        <v>-9263.0199999999968</v>
      </c>
      <c r="H301" s="2" t="str">
        <f>TEXT(Budget3[[#This Row],[Date]], "mmm")</f>
        <v>Aug</v>
      </c>
      <c r="I301" s="2" t="s">
        <v>339</v>
      </c>
    </row>
    <row r="302" spans="1:9" x14ac:dyDescent="0.45">
      <c r="A302">
        <f>MONTH(Budget3[[#This Row],[Date]])</f>
        <v>8</v>
      </c>
      <c r="B302" s="1">
        <v>45891</v>
      </c>
      <c r="C302" t="s">
        <v>68</v>
      </c>
      <c r="D302" t="s">
        <v>130</v>
      </c>
      <c r="F302" s="2">
        <v>58.33</v>
      </c>
      <c r="G302" s="2">
        <f>SUM(G301+Budget3[[#This Row],[Income]]-Budget3[[#This Row],[Credit]])</f>
        <v>-9321.3499999999967</v>
      </c>
      <c r="H302" s="2" t="str">
        <f>TEXT(Budget3[[#This Row],[Date]], "mmm")</f>
        <v>Aug</v>
      </c>
      <c r="I302" s="2" t="s">
        <v>312</v>
      </c>
    </row>
    <row r="303" spans="1:9" x14ac:dyDescent="0.45">
      <c r="A303">
        <f>MONTH(Budget3[[#This Row],[Date]])</f>
        <v>8</v>
      </c>
      <c r="B303" s="1">
        <v>45892</v>
      </c>
      <c r="C303" t="s">
        <v>255</v>
      </c>
      <c r="D303" t="s">
        <v>39</v>
      </c>
      <c r="F303" s="2">
        <v>8.11</v>
      </c>
      <c r="G303" s="2">
        <f>SUM(G302+Budget3[[#This Row],[Income]]-Budget3[[#This Row],[Credit]])</f>
        <v>-9329.4599999999973</v>
      </c>
      <c r="H303" s="2" t="str">
        <f>TEXT(Budget3[[#This Row],[Date]], "mmm")</f>
        <v>Aug</v>
      </c>
      <c r="I303" s="2" t="s">
        <v>339</v>
      </c>
    </row>
    <row r="304" spans="1:9" x14ac:dyDescent="0.45">
      <c r="A304">
        <f>MONTH(Budget3[[#This Row],[Date]])</f>
        <v>8</v>
      </c>
      <c r="B304" s="1">
        <v>45893</v>
      </c>
      <c r="C304" t="s">
        <v>18</v>
      </c>
      <c r="D304" t="s">
        <v>16</v>
      </c>
      <c r="F304" s="2">
        <v>43.25</v>
      </c>
      <c r="G304" s="2">
        <f>SUM(G303+Budget3[[#This Row],[Income]]-Budget3[[#This Row],[Credit]])</f>
        <v>-9372.7099999999973</v>
      </c>
      <c r="H304" s="2" t="str">
        <f>TEXT(Budget3[[#This Row],[Date]], "mmm")</f>
        <v>Aug</v>
      </c>
      <c r="I304" s="2" t="s">
        <v>16</v>
      </c>
    </row>
    <row r="305" spans="1:9" x14ac:dyDescent="0.45">
      <c r="A305">
        <f>MONTH(Budget3[[#This Row],[Date]])</f>
        <v>8</v>
      </c>
      <c r="B305" s="1">
        <v>45895</v>
      </c>
      <c r="C305" t="s">
        <v>256</v>
      </c>
      <c r="D305" t="s">
        <v>39</v>
      </c>
      <c r="F305" s="2">
        <v>16.32</v>
      </c>
      <c r="G305" s="2">
        <f>SUM(G304+Budget3[[#This Row],[Income]]-Budget3[[#This Row],[Credit]])</f>
        <v>-9389.029999999997</v>
      </c>
      <c r="H305" s="2" t="str">
        <f>TEXT(Budget3[[#This Row],[Date]], "mmm")</f>
        <v>Aug</v>
      </c>
      <c r="I305" s="2" t="s">
        <v>339</v>
      </c>
    </row>
    <row r="306" spans="1:9" x14ac:dyDescent="0.45">
      <c r="A306">
        <f>MONTH(Budget3[[#This Row],[Date]])</f>
        <v>8</v>
      </c>
      <c r="B306" s="1">
        <v>45896</v>
      </c>
      <c r="C306" t="s">
        <v>229</v>
      </c>
      <c r="D306" t="s">
        <v>130</v>
      </c>
      <c r="F306" s="2">
        <v>4.8600000000000003</v>
      </c>
      <c r="G306" s="2">
        <f>SUM(G305+Budget3[[#This Row],[Income]]-Budget3[[#This Row],[Credit]])</f>
        <v>-9393.8899999999976</v>
      </c>
      <c r="H306" s="2" t="str">
        <f>TEXT(Budget3[[#This Row],[Date]], "mmm")</f>
        <v>Aug</v>
      </c>
      <c r="I306" s="2" t="s">
        <v>312</v>
      </c>
    </row>
    <row r="307" spans="1:9" x14ac:dyDescent="0.45">
      <c r="A307">
        <f>MONTH(Budget3[[#This Row],[Date]])</f>
        <v>8</v>
      </c>
      <c r="B307" s="1">
        <v>45895</v>
      </c>
      <c r="C307" t="s">
        <v>257</v>
      </c>
      <c r="D307" t="s">
        <v>39</v>
      </c>
      <c r="F307" s="2">
        <v>4.3499999999999996</v>
      </c>
      <c r="G307" s="2">
        <f>SUM(G306+Budget3[[#This Row],[Income]]-Budget3[[#This Row],[Credit]])</f>
        <v>-9398.239999999998</v>
      </c>
      <c r="H307" s="2" t="str">
        <f>TEXT(Budget3[[#This Row],[Date]], "mmm")</f>
        <v>Aug</v>
      </c>
      <c r="I307" s="2" t="s">
        <v>339</v>
      </c>
    </row>
    <row r="308" spans="1:9" x14ac:dyDescent="0.45">
      <c r="A308">
        <f>MONTH(Budget3[[#This Row],[Date]])</f>
        <v>8</v>
      </c>
      <c r="B308" s="1">
        <v>45900</v>
      </c>
      <c r="C308" t="s">
        <v>349</v>
      </c>
      <c r="D308" s="1" t="s">
        <v>29</v>
      </c>
      <c r="F308" s="50">
        <v>543.59</v>
      </c>
      <c r="G308" s="2">
        <f>SUM(G307+Budget3[[#This Row],[Income]]-Budget3[[#This Row],[Credit]])</f>
        <v>-9941.8299999999981</v>
      </c>
      <c r="H308" s="2" t="str">
        <f>TEXT(Budget3[[#This Row],[Date]], "mmm")</f>
        <v>Aug</v>
      </c>
      <c r="I308" s="2" t="s">
        <v>29</v>
      </c>
    </row>
    <row r="309" spans="1:9" x14ac:dyDescent="0.45">
      <c r="A309">
        <f>MONTH(Budget3[[#This Row],[Date]])</f>
        <v>8</v>
      </c>
      <c r="B309" s="1">
        <v>45900</v>
      </c>
      <c r="C309" t="s">
        <v>32</v>
      </c>
      <c r="D309" t="s">
        <v>35</v>
      </c>
      <c r="F309" s="11">
        <v>29.14</v>
      </c>
      <c r="G309" s="2">
        <f>SUM(G308+Budget3[[#This Row],[Income]]-Budget3[[#This Row],[Credit]])</f>
        <v>-9970.9699999999975</v>
      </c>
      <c r="H309" s="2" t="str">
        <f>TEXT(Budget3[[#This Row],[Date]], "mmm")</f>
        <v>Aug</v>
      </c>
      <c r="I309" s="2" t="s">
        <v>9</v>
      </c>
    </row>
    <row r="310" spans="1:9" x14ac:dyDescent="0.45">
      <c r="A310">
        <f>MONTH(Budget3[[#This Row],[Date]])</f>
        <v>8</v>
      </c>
      <c r="B310" s="1">
        <v>45899</v>
      </c>
      <c r="C310" t="s">
        <v>258</v>
      </c>
      <c r="D310" t="s">
        <v>130</v>
      </c>
      <c r="F310" s="2">
        <v>124.1</v>
      </c>
      <c r="G310" s="2">
        <f>SUM(G309+Budget3[[#This Row],[Income]]-Budget3[[#This Row],[Credit]])</f>
        <v>-10095.069999999998</v>
      </c>
      <c r="H310" s="2" t="str">
        <f>TEXT(Budget3[[#This Row],[Date]], "mmm")</f>
        <v>Aug</v>
      </c>
      <c r="I310" s="2" t="s">
        <v>342</v>
      </c>
    </row>
    <row r="311" spans="1:9" ht="14.65" thickBot="1" x14ac:dyDescent="0.5">
      <c r="A311" s="27">
        <f>MONTH(Budget3[[#This Row],[Date]])</f>
        <v>8</v>
      </c>
      <c r="B311" s="28">
        <v>45899</v>
      </c>
      <c r="C311" s="27" t="s">
        <v>48</v>
      </c>
      <c r="D311" s="27" t="s">
        <v>39</v>
      </c>
      <c r="E311" s="29"/>
      <c r="F311" s="29">
        <v>22.4</v>
      </c>
      <c r="G311" s="29">
        <f>SUM(G310+Budget3[[#This Row],[Income]]-Budget3[[#This Row],[Credit]])</f>
        <v>-10117.469999999998</v>
      </c>
      <c r="H311" s="2" t="str">
        <f>TEXT(Budget3[[#This Row],[Date]], "mmm")</f>
        <v>Aug</v>
      </c>
      <c r="I311" s="2" t="s">
        <v>339</v>
      </c>
    </row>
    <row r="312" spans="1:9" ht="14.65" thickTop="1" x14ac:dyDescent="0.45">
      <c r="A312">
        <f>MONTH(Budget3[[#This Row],[Date]])</f>
        <v>9</v>
      </c>
      <c r="B312" s="1">
        <v>45902</v>
      </c>
      <c r="C312" t="s">
        <v>229</v>
      </c>
      <c r="D312" t="s">
        <v>130</v>
      </c>
      <c r="E312" s="72"/>
      <c r="F312" s="72">
        <v>129.86000000000001</v>
      </c>
      <c r="G312" s="72">
        <f>SUM(G311+Budget3[[#This Row],[Income]]-Budget3[[#This Row],[Credit]])</f>
        <v>-10247.329999999998</v>
      </c>
      <c r="H312" s="2" t="str">
        <f>TEXT(Budget3[[#This Row],[Date]], "mmm")</f>
        <v>Sep</v>
      </c>
      <c r="I312" s="2" t="s">
        <v>312</v>
      </c>
    </row>
    <row r="313" spans="1:9" x14ac:dyDescent="0.45">
      <c r="A313">
        <f>MONTH(Budget3[[#This Row],[Date]])</f>
        <v>9</v>
      </c>
      <c r="B313" s="1">
        <v>45902</v>
      </c>
      <c r="C313" t="s">
        <v>18</v>
      </c>
      <c r="D313" t="s">
        <v>16</v>
      </c>
      <c r="F313" s="2">
        <v>38.020000000000003</v>
      </c>
      <c r="G313" s="2">
        <f>SUM(G311+Budget3[[#This Row],[Income]]-Budget3[[#This Row],[Credit]])</f>
        <v>-10155.489999999998</v>
      </c>
      <c r="H313" s="2" t="str">
        <f>TEXT(Budget3[[#This Row],[Date]], "mmm")</f>
        <v>Sep</v>
      </c>
      <c r="I313" s="2" t="s">
        <v>16</v>
      </c>
    </row>
    <row r="314" spans="1:9" x14ac:dyDescent="0.45">
      <c r="A314">
        <f>MONTH(Budget3[[#This Row],[Date]])</f>
        <v>9</v>
      </c>
      <c r="B314" s="1">
        <v>45903</v>
      </c>
      <c r="C314" t="s">
        <v>259</v>
      </c>
      <c r="D314" t="s">
        <v>39</v>
      </c>
      <c r="F314" s="2">
        <v>9.1999999999999993</v>
      </c>
      <c r="G314" s="2">
        <f>SUM(G313+Budget3[[#This Row],[Income]]-Budget3[[#This Row],[Credit]])</f>
        <v>-10164.689999999999</v>
      </c>
      <c r="H314" s="2" t="str">
        <f>TEXT(Budget3[[#This Row],[Date]], "mmm")</f>
        <v>Sep</v>
      </c>
      <c r="I314" s="2" t="s">
        <v>339</v>
      </c>
    </row>
    <row r="315" spans="1:9" x14ac:dyDescent="0.45">
      <c r="A315">
        <f>MONTH(Budget3[[#This Row],[Date]])</f>
        <v>9</v>
      </c>
      <c r="B315" s="1">
        <v>45904</v>
      </c>
      <c r="C315" t="s">
        <v>260</v>
      </c>
      <c r="D315" t="s">
        <v>13</v>
      </c>
      <c r="F315" s="2">
        <v>11</v>
      </c>
      <c r="G315" s="2">
        <f>SUM(G314+Budget3[[#This Row],[Income]]-Budget3[[#This Row],[Credit]])</f>
        <v>-10175.689999999999</v>
      </c>
      <c r="H315" s="2" t="str">
        <f>TEXT(Budget3[[#This Row],[Date]], "mmm")</f>
        <v>Sep</v>
      </c>
      <c r="I315" s="2" t="s">
        <v>13</v>
      </c>
    </row>
    <row r="316" spans="1:9" x14ac:dyDescent="0.45">
      <c r="A316">
        <f>MONTH(Budget3[[#This Row],[Date]])</f>
        <v>9</v>
      </c>
      <c r="B316" s="1">
        <v>45908</v>
      </c>
      <c r="C316" t="s">
        <v>261</v>
      </c>
      <c r="D316" t="s">
        <v>13</v>
      </c>
      <c r="F316" s="2">
        <v>31.39</v>
      </c>
      <c r="G316" s="2">
        <f>SUM(G315+Budget3[[#This Row],[Income]]-Budget3[[#This Row],[Credit]])</f>
        <v>-10207.079999999998</v>
      </c>
      <c r="H316" s="2" t="str">
        <f>TEXT(Budget3[[#This Row],[Date]], "mmm")</f>
        <v>Sep</v>
      </c>
      <c r="I316" s="2" t="s">
        <v>13</v>
      </c>
    </row>
    <row r="317" spans="1:9" x14ac:dyDescent="0.45">
      <c r="A317">
        <f>MONTH(Budget3[[#This Row],[Date]])</f>
        <v>9</v>
      </c>
      <c r="B317" s="1">
        <v>45909</v>
      </c>
      <c r="C317" t="s">
        <v>18</v>
      </c>
      <c r="D317" t="s">
        <v>13</v>
      </c>
      <c r="F317" s="2">
        <v>38.880000000000003</v>
      </c>
      <c r="G317" s="2">
        <f>SUM(G316+Budget3[[#This Row],[Income]]-Budget3[[#This Row],[Credit]])</f>
        <v>-10245.959999999997</v>
      </c>
      <c r="H317" s="2" t="str">
        <f>TEXT(Budget3[[#This Row],[Date]], "mmm")</f>
        <v>Sep</v>
      </c>
      <c r="I317" s="2" t="s">
        <v>13</v>
      </c>
    </row>
    <row r="318" spans="1:9" x14ac:dyDescent="0.45">
      <c r="A318">
        <f>MONTH(Budget3[[#This Row],[Date]])</f>
        <v>9</v>
      </c>
      <c r="B318" s="1">
        <v>45910</v>
      </c>
      <c r="C318" t="s">
        <v>262</v>
      </c>
      <c r="D318" t="s">
        <v>130</v>
      </c>
      <c r="F318" s="2">
        <v>31.46</v>
      </c>
      <c r="G318" s="2">
        <f>SUM(G317+Budget3[[#This Row],[Income]]-Budget3[[#This Row],[Credit]])</f>
        <v>-10277.419999999996</v>
      </c>
      <c r="H318" s="2" t="str">
        <f>TEXT(Budget3[[#This Row],[Date]], "mmm")</f>
        <v>Sep</v>
      </c>
      <c r="I318" s="2" t="s">
        <v>344</v>
      </c>
    </row>
    <row r="319" spans="1:9" x14ac:dyDescent="0.45">
      <c r="A319">
        <f>MONTH(Budget3[[#This Row],[Date]])</f>
        <v>9</v>
      </c>
      <c r="B319" s="1">
        <v>45910</v>
      </c>
      <c r="C319" t="s">
        <v>263</v>
      </c>
      <c r="D319" t="s">
        <v>39</v>
      </c>
      <c r="F319" s="2">
        <v>8.61</v>
      </c>
      <c r="G319" s="2">
        <f>SUM(G318+Budget3[[#This Row],[Income]]-Budget3[[#This Row],[Credit]])</f>
        <v>-10286.029999999997</v>
      </c>
      <c r="H319" s="2" t="str">
        <f>TEXT(Budget3[[#This Row],[Date]], "mmm")</f>
        <v>Sep</v>
      </c>
      <c r="I319" s="2" t="s">
        <v>339</v>
      </c>
    </row>
    <row r="320" spans="1:9" x14ac:dyDescent="0.45">
      <c r="A320">
        <f>MONTH(Budget3[[#This Row],[Date]])</f>
        <v>9</v>
      </c>
      <c r="B320" s="1">
        <v>45915</v>
      </c>
      <c r="C320" t="s">
        <v>92</v>
      </c>
      <c r="D320" t="s">
        <v>130</v>
      </c>
      <c r="F320" s="2">
        <v>21.64</v>
      </c>
      <c r="G320" s="2">
        <f>SUM(G319+Budget3[[#This Row],[Income]]-Budget3[[#This Row],[Credit]])</f>
        <v>-10307.669999999996</v>
      </c>
      <c r="H320" s="2" t="str">
        <f>TEXT(Budget3[[#This Row],[Date]], "mmm")</f>
        <v>Sep</v>
      </c>
      <c r="I320" s="2" t="s">
        <v>344</v>
      </c>
    </row>
    <row r="321" spans="1:9" x14ac:dyDescent="0.45">
      <c r="A321">
        <f>MONTH(Budget3[[#This Row],[Date]])</f>
        <v>9</v>
      </c>
      <c r="B321" s="1">
        <v>45902</v>
      </c>
      <c r="C321" t="s">
        <v>264</v>
      </c>
      <c r="D321" t="s">
        <v>4</v>
      </c>
      <c r="E321" s="2">
        <v>11424</v>
      </c>
      <c r="G321" s="2">
        <f>SUM(G320+Budget3[[#This Row],[Income]]-Budget3[[#This Row],[Credit]])</f>
        <v>1116.3300000000036</v>
      </c>
      <c r="H321" s="2" t="str">
        <f>TEXT(Budget3[[#This Row],[Date]], "mmm")</f>
        <v>Sep</v>
      </c>
      <c r="I321" s="2" t="str">
        <f>IF(ISNUMBER(SEARCH("income", Budget3[[#This Row],[Category]])), "Income", "")</f>
        <v>Income</v>
      </c>
    </row>
    <row r="322" spans="1:9" x14ac:dyDescent="0.45">
      <c r="A322">
        <f>MONTH(Budget3[[#This Row],[Date]])</f>
        <v>9</v>
      </c>
      <c r="B322" s="1">
        <v>45904</v>
      </c>
      <c r="C322" t="s">
        <v>17</v>
      </c>
      <c r="D322" t="s">
        <v>4</v>
      </c>
      <c r="E322" s="2">
        <v>898.02</v>
      </c>
      <c r="G322" s="2">
        <f>SUM(G321+Budget3[[#This Row],[Income]]-Budget3[[#This Row],[Credit]])</f>
        <v>2014.3500000000035</v>
      </c>
      <c r="H322" s="2" t="str">
        <f>TEXT(Budget3[[#This Row],[Date]], "mmm")</f>
        <v>Sep</v>
      </c>
      <c r="I322" s="2" t="str">
        <f>IF(ISNUMBER(SEARCH("income", Budget3[[#This Row],[Category]])), "Income", "")</f>
        <v>Income</v>
      </c>
    </row>
    <row r="323" spans="1:9" x14ac:dyDescent="0.45">
      <c r="A323">
        <f>MONTH(Budget3[[#This Row],[Date]])</f>
        <v>9</v>
      </c>
      <c r="B323" s="1">
        <v>45907</v>
      </c>
      <c r="C323" t="s">
        <v>265</v>
      </c>
      <c r="D323" t="s">
        <v>100</v>
      </c>
      <c r="E323" s="2">
        <v>-1000</v>
      </c>
      <c r="G323" s="2">
        <f>SUM(G322+Budget3[[#This Row],[Income]]-Budget3[[#This Row],[Credit]])</f>
        <v>1014.3500000000035</v>
      </c>
      <c r="H323" s="2" t="str">
        <f>TEXT(Budget3[[#This Row],[Date]], "mmm")</f>
        <v>Sep</v>
      </c>
      <c r="I323" s="2" t="s">
        <v>100</v>
      </c>
    </row>
    <row r="324" spans="1:9" x14ac:dyDescent="0.45">
      <c r="A324">
        <f>MONTH(Budget3[[#This Row],[Date]])</f>
        <v>9</v>
      </c>
      <c r="B324" s="1">
        <v>45908</v>
      </c>
      <c r="C324" t="s">
        <v>265</v>
      </c>
      <c r="D324" t="s">
        <v>100</v>
      </c>
      <c r="E324" s="2">
        <v>-1000</v>
      </c>
      <c r="G324" s="2">
        <f>SUM(G323+Budget3[[#This Row],[Income]]-Budget3[[#This Row],[Credit]])</f>
        <v>14.350000000003547</v>
      </c>
      <c r="H324" s="2" t="str">
        <f>TEXT(Budget3[[#This Row],[Date]], "mmm")</f>
        <v>Sep</v>
      </c>
      <c r="I324" s="2" t="s">
        <v>100</v>
      </c>
    </row>
    <row r="325" spans="1:9" x14ac:dyDescent="0.45">
      <c r="A325">
        <f>MONTH(Budget3[[#This Row],[Date]])</f>
        <v>9</v>
      </c>
      <c r="B325" s="1">
        <v>45914</v>
      </c>
      <c r="C325" t="s">
        <v>265</v>
      </c>
      <c r="D325" t="s">
        <v>100</v>
      </c>
      <c r="E325" s="2">
        <v>-1000</v>
      </c>
      <c r="G325" s="2">
        <f>SUM(G324+Budget3[[#This Row],[Income]]-Budget3[[#This Row],[Credit]])</f>
        <v>-985.64999999999645</v>
      </c>
      <c r="H325" s="2" t="str">
        <f>TEXT(Budget3[[#This Row],[Date]], "mmm")</f>
        <v>Sep</v>
      </c>
      <c r="I325" s="2" t="s">
        <v>100</v>
      </c>
    </row>
    <row r="326" spans="1:9" x14ac:dyDescent="0.45">
      <c r="A326">
        <f>MONTH(Budget3[[#This Row],[Date]])</f>
        <v>9</v>
      </c>
      <c r="B326" s="1">
        <v>45917</v>
      </c>
      <c r="C326" t="s">
        <v>265</v>
      </c>
      <c r="D326" t="s">
        <v>100</v>
      </c>
      <c r="E326" s="2">
        <v>-1000</v>
      </c>
      <c r="G326" s="2">
        <f>SUM(G325+Budget3[[#This Row],[Income]]-Budget3[[#This Row],[Credit]])</f>
        <v>-1985.6499999999965</v>
      </c>
      <c r="H326" s="2" t="str">
        <f>TEXT(Budget3[[#This Row],[Date]], "mmm")</f>
        <v>Sep</v>
      </c>
      <c r="I326" s="2" t="s">
        <v>100</v>
      </c>
    </row>
    <row r="327" spans="1:9" x14ac:dyDescent="0.45">
      <c r="A327">
        <f>MONTH(Budget3[[#This Row],[Date]])</f>
        <v>9</v>
      </c>
      <c r="B327" s="1">
        <v>45917</v>
      </c>
      <c r="C327" t="s">
        <v>349</v>
      </c>
      <c r="D327" s="1" t="s">
        <v>29</v>
      </c>
      <c r="F327" s="50">
        <v>466.56</v>
      </c>
      <c r="G327" s="2">
        <f>SUM(G326+Budget3[[#This Row],[Income]]-Budget3[[#This Row],[Credit]])</f>
        <v>-2452.2099999999964</v>
      </c>
      <c r="H327" s="2" t="str">
        <f>TEXT(Budget3[[#This Row],[Date]], "mmm")</f>
        <v>Sep</v>
      </c>
      <c r="I327" s="2" t="s">
        <v>29</v>
      </c>
    </row>
    <row r="328" spans="1:9" x14ac:dyDescent="0.45">
      <c r="A328">
        <f>MONTH(Budget3[[#This Row],[Date]])</f>
        <v>9</v>
      </c>
      <c r="B328" s="1">
        <v>45918</v>
      </c>
      <c r="C328" t="s">
        <v>17</v>
      </c>
      <c r="D328" t="s">
        <v>4</v>
      </c>
      <c r="E328" s="2">
        <v>773.18</v>
      </c>
      <c r="G328" s="2">
        <f>SUM(G327+Budget3[[#This Row],[Income]]-Budget3[[#This Row],[Credit]])</f>
        <v>-1679.0299999999966</v>
      </c>
      <c r="H328" s="2" t="str">
        <f>TEXT(Budget3[[#This Row],[Date]], "mmm")</f>
        <v>Sep</v>
      </c>
      <c r="I328" s="2" t="str">
        <f>IF(ISNUMBER(SEARCH("income", Budget3[[#This Row],[Category]])), "Income", "")</f>
        <v>Income</v>
      </c>
    </row>
    <row r="329" spans="1:9" x14ac:dyDescent="0.45">
      <c r="A329">
        <f>MONTH(Budget3[[#This Row],[Date]])</f>
        <v>9</v>
      </c>
      <c r="B329" s="1">
        <v>45919</v>
      </c>
      <c r="C329" t="s">
        <v>106</v>
      </c>
      <c r="D329" t="s">
        <v>100</v>
      </c>
      <c r="E329" s="2">
        <v>-100</v>
      </c>
      <c r="G329" s="2">
        <f>SUM(G328+Budget3[[#This Row],[Income]]-Budget3[[#This Row],[Credit]])</f>
        <v>-1779.0299999999966</v>
      </c>
      <c r="H329" s="2" t="str">
        <f>TEXT(Budget3[[#This Row],[Date]], "mmm")</f>
        <v>Sep</v>
      </c>
      <c r="I329" s="2" t="s">
        <v>100</v>
      </c>
    </row>
    <row r="330" spans="1:9" x14ac:dyDescent="0.45">
      <c r="A330">
        <f>MONTH(Budget3[[#This Row],[Date]])</f>
        <v>9</v>
      </c>
      <c r="B330" s="1">
        <v>45921</v>
      </c>
      <c r="C330" t="s">
        <v>265</v>
      </c>
      <c r="D330" t="s">
        <v>100</v>
      </c>
      <c r="E330" s="2">
        <v>-1000</v>
      </c>
      <c r="G330" s="2">
        <f>SUM(G329+Budget3[[#This Row],[Income]]-Budget3[[#This Row],[Credit]])</f>
        <v>-2779.0299999999966</v>
      </c>
      <c r="H330" s="2" t="str">
        <f>TEXT(Budget3[[#This Row],[Date]], "mmm")</f>
        <v>Sep</v>
      </c>
      <c r="I330" s="2" t="s">
        <v>100</v>
      </c>
    </row>
    <row r="331" spans="1:9" x14ac:dyDescent="0.45">
      <c r="A331">
        <f>MONTH(Budget3[[#This Row],[Date]])</f>
        <v>9</v>
      </c>
      <c r="B331" s="1">
        <v>45922</v>
      </c>
      <c r="C331" t="s">
        <v>265</v>
      </c>
      <c r="D331" t="s">
        <v>100</v>
      </c>
      <c r="E331" s="2">
        <v>-1000</v>
      </c>
      <c r="G331" s="2">
        <f>SUM(G330+Budget3[[#This Row],[Income]]-Budget3[[#This Row],[Credit]])</f>
        <v>-3779.0299999999966</v>
      </c>
      <c r="H331" s="2" t="str">
        <f>TEXT(Budget3[[#This Row],[Date]], "mmm")</f>
        <v>Sep</v>
      </c>
      <c r="I331" s="2" t="s">
        <v>100</v>
      </c>
    </row>
    <row r="332" spans="1:9" x14ac:dyDescent="0.45">
      <c r="A332">
        <f>MONTH(Budget3[[#This Row],[Date]])</f>
        <v>9</v>
      </c>
      <c r="B332" s="1">
        <v>45925</v>
      </c>
      <c r="C332" t="s">
        <v>265</v>
      </c>
      <c r="D332" t="s">
        <v>100</v>
      </c>
      <c r="E332" s="2">
        <v>-1000</v>
      </c>
      <c r="G332" s="2">
        <f>SUM(G331+Budget3[[#This Row],[Income]]-Budget3[[#This Row],[Credit]])</f>
        <v>-4779.029999999997</v>
      </c>
      <c r="H332" s="2" t="str">
        <f>TEXT(Budget3[[#This Row],[Date]], "mmm")</f>
        <v>Sep</v>
      </c>
      <c r="I332" s="2" t="s">
        <v>100</v>
      </c>
    </row>
    <row r="333" spans="1:9" x14ac:dyDescent="0.45">
      <c r="A333">
        <f>MONTH(Budget3[[#This Row],[Date]])</f>
        <v>9</v>
      </c>
      <c r="B333" s="1">
        <v>45929</v>
      </c>
      <c r="C333" t="s">
        <v>150</v>
      </c>
      <c r="D333" t="s">
        <v>4</v>
      </c>
      <c r="E333" s="2">
        <v>180</v>
      </c>
      <c r="G333" s="2">
        <f>SUM(G332+Budget3[[#This Row],[Income]]-Budget3[[#This Row],[Credit]])</f>
        <v>-4599.029999999997</v>
      </c>
      <c r="H333" s="2" t="str">
        <f>TEXT(Budget3[[#This Row],[Date]], "mmm")</f>
        <v>Sep</v>
      </c>
      <c r="I333" s="2" t="s">
        <v>346</v>
      </c>
    </row>
    <row r="334" spans="1:9" x14ac:dyDescent="0.45">
      <c r="A334">
        <f>MONTH(Budget3[[#This Row],[Date]])</f>
        <v>9</v>
      </c>
      <c r="B334" s="1">
        <v>45917</v>
      </c>
      <c r="C334" t="s">
        <v>266</v>
      </c>
      <c r="D334" t="s">
        <v>13</v>
      </c>
      <c r="F334" s="2">
        <v>536</v>
      </c>
      <c r="G334" s="2">
        <f>SUM(G333+Budget3[[#This Row],[Income]]-Budget3[[#This Row],[Credit]])</f>
        <v>-5135.029999999997</v>
      </c>
      <c r="H334" s="2" t="str">
        <f>TEXT(Budget3[[#This Row],[Date]], "mmm")</f>
        <v>Sep</v>
      </c>
      <c r="I334" s="2" t="s">
        <v>13</v>
      </c>
    </row>
    <row r="335" spans="1:9" x14ac:dyDescent="0.45">
      <c r="A335">
        <f>MONTH(Budget3[[#This Row],[Date]])</f>
        <v>9</v>
      </c>
      <c r="B335" s="1">
        <v>45918</v>
      </c>
      <c r="C335" t="s">
        <v>267</v>
      </c>
      <c r="D335" t="s">
        <v>130</v>
      </c>
      <c r="F335" s="2">
        <v>35</v>
      </c>
      <c r="G335" s="2">
        <f>SUM(G334+Budget3[[#This Row],[Income]]-Budget3[[#This Row],[Credit]])</f>
        <v>-5170.029999999997</v>
      </c>
      <c r="H335" s="2" t="str">
        <f>TEXT(Budget3[[#This Row],[Date]], "mmm")</f>
        <v>Sep</v>
      </c>
      <c r="I335" s="2" t="s">
        <v>342</v>
      </c>
    </row>
    <row r="336" spans="1:9" x14ac:dyDescent="0.45">
      <c r="A336">
        <f>MONTH(Budget3[[#This Row],[Date]])</f>
        <v>9</v>
      </c>
      <c r="B336" s="1">
        <v>45918</v>
      </c>
      <c r="C336" t="s">
        <v>251</v>
      </c>
      <c r="D336" t="s">
        <v>39</v>
      </c>
      <c r="F336" s="2">
        <v>14.7</v>
      </c>
      <c r="G336" s="2">
        <f>SUM(G335+Budget3[[#This Row],[Income]]-Budget3[[#This Row],[Credit]])</f>
        <v>-5184.7299999999968</v>
      </c>
      <c r="H336" s="2" t="str">
        <f>TEXT(Budget3[[#This Row],[Date]], "mmm")</f>
        <v>Sep</v>
      </c>
      <c r="I336" s="2" t="s">
        <v>339</v>
      </c>
    </row>
    <row r="337" spans="1:9" x14ac:dyDescent="0.45">
      <c r="A337">
        <f>MONTH(Budget3[[#This Row],[Date]])</f>
        <v>9</v>
      </c>
      <c r="B337" s="1">
        <v>45918</v>
      </c>
      <c r="C337" t="s">
        <v>18</v>
      </c>
      <c r="D337" t="s">
        <v>13</v>
      </c>
      <c r="F337" s="2">
        <v>41.87</v>
      </c>
      <c r="G337" s="2">
        <f>SUM(G336+Budget3[[#This Row],[Income]]-Budget3[[#This Row],[Credit]])</f>
        <v>-5226.5999999999967</v>
      </c>
      <c r="H337" s="2" t="str">
        <f>TEXT(Budget3[[#This Row],[Date]], "mmm")</f>
        <v>Sep</v>
      </c>
      <c r="I337" s="2" t="s">
        <v>13</v>
      </c>
    </row>
    <row r="338" spans="1:9" x14ac:dyDescent="0.45">
      <c r="A338">
        <f>MONTH(Budget3[[#This Row],[Date]])</f>
        <v>9</v>
      </c>
      <c r="B338" s="1">
        <v>45918</v>
      </c>
      <c r="C338" t="s">
        <v>268</v>
      </c>
      <c r="D338" t="s">
        <v>130</v>
      </c>
      <c r="F338" s="2">
        <v>49.5</v>
      </c>
      <c r="G338" s="2">
        <f>SUM(G337+Budget3[[#This Row],[Income]]-Budget3[[#This Row],[Credit]])</f>
        <v>-5276.0999999999967</v>
      </c>
      <c r="H338" s="2" t="str">
        <f>TEXT(Budget3[[#This Row],[Date]], "mmm")</f>
        <v>Sep</v>
      </c>
      <c r="I338" s="2" t="s">
        <v>342</v>
      </c>
    </row>
    <row r="339" spans="1:9" x14ac:dyDescent="0.45">
      <c r="A339">
        <f>MONTH(Budget3[[#This Row],[Date]])</f>
        <v>9</v>
      </c>
      <c r="B339" s="1">
        <v>45924</v>
      </c>
      <c r="C339" t="s">
        <v>269</v>
      </c>
      <c r="D339" t="s">
        <v>39</v>
      </c>
      <c r="F339" s="2">
        <v>21.39</v>
      </c>
      <c r="G339" s="2">
        <f>SUM(G338+Budget3[[#This Row],[Income]]-Budget3[[#This Row],[Credit]])</f>
        <v>-5297.4899999999971</v>
      </c>
      <c r="H339" s="2" t="str">
        <f>TEXT(Budget3[[#This Row],[Date]], "mmm")</f>
        <v>Sep</v>
      </c>
      <c r="I339" s="2" t="s">
        <v>339</v>
      </c>
    </row>
    <row r="340" spans="1:9" x14ac:dyDescent="0.45">
      <c r="A340">
        <f>MONTH(Budget3[[#This Row],[Date]])</f>
        <v>9</v>
      </c>
      <c r="B340" s="1">
        <v>45925</v>
      </c>
      <c r="C340" t="s">
        <v>270</v>
      </c>
      <c r="D340" t="s">
        <v>130</v>
      </c>
      <c r="F340" s="2">
        <v>5.4</v>
      </c>
      <c r="G340" s="2">
        <f>SUM(G339+Budget3[[#This Row],[Income]]-Budget3[[#This Row],[Credit]])</f>
        <v>-5302.8899999999967</v>
      </c>
      <c r="H340" s="2" t="str">
        <f>TEXT(Budget3[[#This Row],[Date]], "mmm")</f>
        <v>Sep</v>
      </c>
      <c r="I340" s="2" t="s">
        <v>345</v>
      </c>
    </row>
    <row r="341" spans="1:9" x14ac:dyDescent="0.45">
      <c r="A341">
        <f>MONTH(Budget3[[#This Row],[Date]])</f>
        <v>9</v>
      </c>
      <c r="B341" s="1">
        <v>45925</v>
      </c>
      <c r="C341" t="s">
        <v>229</v>
      </c>
      <c r="D341" t="s">
        <v>130</v>
      </c>
      <c r="F341" s="2">
        <v>86.56</v>
      </c>
      <c r="G341" s="2">
        <f>SUM(G340+Budget3[[#This Row],[Income]]-Budget3[[#This Row],[Credit]])</f>
        <v>-5389.4499999999971</v>
      </c>
      <c r="H341" s="2" t="str">
        <f>TEXT(Budget3[[#This Row],[Date]], "mmm")</f>
        <v>Sep</v>
      </c>
      <c r="I341" s="2" t="s">
        <v>312</v>
      </c>
    </row>
    <row r="342" spans="1:9" x14ac:dyDescent="0.45">
      <c r="A342">
        <f>MONTH(Budget3[[#This Row],[Date]])</f>
        <v>9</v>
      </c>
      <c r="B342" s="1">
        <v>45925</v>
      </c>
      <c r="C342" t="s">
        <v>18</v>
      </c>
      <c r="D342" t="s">
        <v>16</v>
      </c>
      <c r="F342" s="2">
        <v>41.13</v>
      </c>
      <c r="G342" s="2">
        <f>SUM(G341+Budget3[[#This Row],[Income]]-Budget3[[#This Row],[Credit]])</f>
        <v>-5430.5799999999972</v>
      </c>
      <c r="H342" s="2" t="str">
        <f>TEXT(Budget3[[#This Row],[Date]], "mmm")</f>
        <v>Sep</v>
      </c>
      <c r="I342" s="2" t="s">
        <v>16</v>
      </c>
    </row>
    <row r="343" spans="1:9" x14ac:dyDescent="0.45">
      <c r="A343">
        <f>MONTH(Budget3[[#This Row],[Date]])</f>
        <v>9</v>
      </c>
      <c r="B343" s="1">
        <v>45926</v>
      </c>
      <c r="C343" t="s">
        <v>229</v>
      </c>
      <c r="D343" t="s">
        <v>130</v>
      </c>
      <c r="F343" s="2">
        <v>334.01</v>
      </c>
      <c r="G343" s="2">
        <f>SUM(G342+Budget3[[#This Row],[Income]]-Budget3[[#This Row],[Credit]])</f>
        <v>-5764.5899999999974</v>
      </c>
      <c r="H343" s="2" t="str">
        <f>TEXT(Budget3[[#This Row],[Date]], "mmm")</f>
        <v>Sep</v>
      </c>
      <c r="I343" s="2" t="s">
        <v>312</v>
      </c>
    </row>
    <row r="344" spans="1:9" x14ac:dyDescent="0.45">
      <c r="A344">
        <f>MONTH(Budget3[[#This Row],[Date]])</f>
        <v>9</v>
      </c>
      <c r="B344" s="1">
        <v>45926</v>
      </c>
      <c r="C344" t="s">
        <v>278</v>
      </c>
      <c r="D344" t="s">
        <v>130</v>
      </c>
      <c r="F344" s="2">
        <v>126.62</v>
      </c>
      <c r="G344" s="2">
        <f>SUM(G343+Budget3[[#This Row],[Income]]-Budget3[[#This Row],[Credit]])</f>
        <v>-5891.2099999999973</v>
      </c>
      <c r="H344" s="2" t="str">
        <f>TEXT(Budget3[[#This Row],[Date]], "mmm")</f>
        <v>Sep</v>
      </c>
      <c r="I344" s="2" t="s">
        <v>312</v>
      </c>
    </row>
    <row r="345" spans="1:9" x14ac:dyDescent="0.45">
      <c r="A345">
        <f>MONTH(Budget3[[#This Row],[Date]])</f>
        <v>9</v>
      </c>
      <c r="B345" s="1">
        <v>45926</v>
      </c>
      <c r="C345" t="s">
        <v>273</v>
      </c>
      <c r="D345" t="s">
        <v>130</v>
      </c>
      <c r="F345" s="2">
        <v>64.84</v>
      </c>
      <c r="G345" s="2">
        <f>SUM(G344+Budget3[[#This Row],[Income]]-Budget3[[#This Row],[Credit]])</f>
        <v>-5956.0499999999975</v>
      </c>
      <c r="H345" s="2" t="str">
        <f>TEXT(Budget3[[#This Row],[Date]], "mmm")</f>
        <v>Sep</v>
      </c>
      <c r="I345" s="2" t="s">
        <v>312</v>
      </c>
    </row>
    <row r="346" spans="1:9" x14ac:dyDescent="0.45">
      <c r="A346">
        <f>MONTH(Budget3[[#This Row],[Date]])</f>
        <v>9</v>
      </c>
      <c r="B346" s="1">
        <v>45927</v>
      </c>
      <c r="C346" t="s">
        <v>271</v>
      </c>
      <c r="D346" t="s">
        <v>39</v>
      </c>
      <c r="F346" s="2">
        <v>31.58</v>
      </c>
      <c r="G346" s="2">
        <f>SUM(G345+Budget3[[#This Row],[Income]]-Budget3[[#This Row],[Credit]])</f>
        <v>-5987.6299999999974</v>
      </c>
      <c r="H346" s="2" t="str">
        <f>TEXT(Budget3[[#This Row],[Date]], "mmm")</f>
        <v>Sep</v>
      </c>
      <c r="I346" s="2" t="s">
        <v>339</v>
      </c>
    </row>
    <row r="347" spans="1:9" x14ac:dyDescent="0.45">
      <c r="A347">
        <f>MONTH(Budget3[[#This Row],[Date]])</f>
        <v>9</v>
      </c>
      <c r="B347" s="1">
        <v>45929</v>
      </c>
      <c r="C347" t="s">
        <v>265</v>
      </c>
      <c r="D347" t="s">
        <v>100</v>
      </c>
      <c r="E347" s="2">
        <v>-1000</v>
      </c>
      <c r="G347" s="2">
        <f>SUM(G346+Budget3[[#This Row],[Income]]-Budget3[[#This Row],[Credit]])</f>
        <v>-6987.6299999999974</v>
      </c>
      <c r="H347" s="2" t="str">
        <f>TEXT(Budget3[[#This Row],[Date]], "mmm")</f>
        <v>Sep</v>
      </c>
      <c r="I347" s="2" t="s">
        <v>100</v>
      </c>
    </row>
    <row r="348" spans="1:9" x14ac:dyDescent="0.45">
      <c r="A348">
        <f>MONTH(Budget3[[#This Row],[Date]])</f>
        <v>9</v>
      </c>
      <c r="B348" s="1">
        <v>45929</v>
      </c>
      <c r="C348" t="s">
        <v>12</v>
      </c>
      <c r="D348" t="s">
        <v>13</v>
      </c>
      <c r="F348" s="2">
        <v>2.56</v>
      </c>
      <c r="G348" s="2">
        <f>SUM(G347+Budget3[[#This Row],[Income]]-Budget3[[#This Row],[Credit]])</f>
        <v>-6990.1899999999978</v>
      </c>
      <c r="H348" s="2" t="str">
        <f>TEXT(Budget3[[#This Row],[Date]], "mmm")</f>
        <v>Sep</v>
      </c>
      <c r="I348" s="2" t="s">
        <v>13</v>
      </c>
    </row>
    <row r="349" spans="1:9" ht="14.65" thickBot="1" x14ac:dyDescent="0.5">
      <c r="A349" s="27">
        <f>MONTH(Budget3[[#This Row],[Date]])</f>
        <v>9</v>
      </c>
      <c r="B349" s="28">
        <v>45930</v>
      </c>
      <c r="C349" s="27" t="s">
        <v>32</v>
      </c>
      <c r="D349" s="27" t="s">
        <v>35</v>
      </c>
      <c r="E349" s="29"/>
      <c r="F349" s="30">
        <v>28.26</v>
      </c>
      <c r="G349" s="29">
        <f>SUM(G348+Budget3[[#This Row],[Income]]-Budget3[[#This Row],[Credit]])</f>
        <v>-7018.449999999998</v>
      </c>
      <c r="H349" s="2" t="str">
        <f>TEXT(Budget3[[#This Row],[Date]], "mmm")</f>
        <v>Sep</v>
      </c>
      <c r="I349" s="2" t="s">
        <v>9</v>
      </c>
    </row>
    <row r="350" spans="1:9" ht="14.65" thickTop="1" x14ac:dyDescent="0.45">
      <c r="A350">
        <f>MONTH(Budget3[[#This Row],[Date]])</f>
        <v>10</v>
      </c>
      <c r="B350" s="1">
        <v>45932</v>
      </c>
      <c r="C350" t="s">
        <v>349</v>
      </c>
      <c r="D350" s="1" t="s">
        <v>29</v>
      </c>
      <c r="F350" s="50">
        <v>1391.16</v>
      </c>
      <c r="G350" s="2">
        <f>SUM(G349+Budget3[[#This Row],[Income]]-Budget3[[#This Row],[Credit]])</f>
        <v>-8409.6099999999988</v>
      </c>
      <c r="H350" s="2" t="str">
        <f>TEXT(Budget3[[#This Row],[Date]], "mmm")</f>
        <v>Oct</v>
      </c>
      <c r="I350" s="2" t="s">
        <v>29</v>
      </c>
    </row>
    <row r="351" spans="1:9" x14ac:dyDescent="0.45">
      <c r="A351">
        <f>MONTH(Budget3[[#This Row],[Date]])</f>
        <v>10</v>
      </c>
      <c r="B351" s="1">
        <v>45932</v>
      </c>
      <c r="C351" t="s">
        <v>265</v>
      </c>
      <c r="D351" t="s">
        <v>100</v>
      </c>
      <c r="E351" s="2">
        <v>-1000</v>
      </c>
      <c r="G351" s="2">
        <f>SUM(G350+Budget3[[#This Row],[Income]]-Budget3[[#This Row],[Credit]])</f>
        <v>-9409.6099999999988</v>
      </c>
      <c r="H351" s="2" t="str">
        <f>TEXT(Budget3[[#This Row],[Date]], "mmm")</f>
        <v>Oct</v>
      </c>
      <c r="I351" s="2" t="s">
        <v>100</v>
      </c>
    </row>
    <row r="352" spans="1:9" x14ac:dyDescent="0.45">
      <c r="A352">
        <f>MONTH(Budget3[[#This Row],[Date]])</f>
        <v>10</v>
      </c>
      <c r="B352" s="1">
        <v>45933</v>
      </c>
      <c r="C352" t="s">
        <v>17</v>
      </c>
      <c r="D352" t="s">
        <v>4</v>
      </c>
      <c r="E352" s="2">
        <v>627.04</v>
      </c>
      <c r="G352" s="2">
        <f>SUM(G351+Budget3[[#This Row],[Income]]-Budget3[[#This Row],[Credit]])</f>
        <v>-8782.57</v>
      </c>
      <c r="H352" s="2" t="str">
        <f>TEXT(Budget3[[#This Row],[Date]], "mmm")</f>
        <v>Oct</v>
      </c>
      <c r="I352" s="2" t="str">
        <f>IF(ISNUMBER(SEARCH("income", Budget3[[#This Row],[Category]])), "Income", "")</f>
        <v>Income</v>
      </c>
    </row>
    <row r="353" spans="1:9" x14ac:dyDescent="0.45">
      <c r="A353">
        <f>MONTH(Budget3[[#This Row],[Date]])</f>
        <v>10</v>
      </c>
      <c r="B353" s="1">
        <v>45932</v>
      </c>
      <c r="C353" t="s">
        <v>78</v>
      </c>
      <c r="D353" t="s">
        <v>13</v>
      </c>
      <c r="F353" s="2">
        <v>75.760000000000005</v>
      </c>
      <c r="G353" s="2" t="e">
        <f>SUM(#REF!+Budget3[[#This Row],[Income]]-Budget3[[#This Row],[Credit]])</f>
        <v>#REF!</v>
      </c>
      <c r="H353" s="2" t="str">
        <f>TEXT(Budget3[[#This Row],[Date]], "mmm")</f>
        <v>Oct</v>
      </c>
      <c r="I353" s="2" t="s">
        <v>13</v>
      </c>
    </row>
    <row r="354" spans="1:9" x14ac:dyDescent="0.45">
      <c r="A354">
        <f>MONTH(Budget3[[#This Row],[Date]])</f>
        <v>10</v>
      </c>
      <c r="B354" s="1">
        <v>45932</v>
      </c>
      <c r="C354" t="s">
        <v>274</v>
      </c>
      <c r="D354" t="s">
        <v>13</v>
      </c>
      <c r="F354" s="2">
        <v>22.72</v>
      </c>
      <c r="G354" s="2" t="e">
        <f>SUM(G353+Budget3[[#This Row],[Income]]-Budget3[[#This Row],[Credit]])</f>
        <v>#REF!</v>
      </c>
      <c r="H354" s="2" t="str">
        <f>TEXT(Budget3[[#This Row],[Date]], "mmm")</f>
        <v>Oct</v>
      </c>
      <c r="I354" s="2" t="s">
        <v>13</v>
      </c>
    </row>
    <row r="355" spans="1:9" x14ac:dyDescent="0.45">
      <c r="A355">
        <f>MONTH(Budget3[[#This Row],[Date]])</f>
        <v>10</v>
      </c>
      <c r="B355" s="1">
        <v>45932</v>
      </c>
      <c r="C355" t="s">
        <v>274</v>
      </c>
      <c r="D355" t="s">
        <v>13</v>
      </c>
      <c r="F355" s="2">
        <v>14.06</v>
      </c>
      <c r="G355" s="2" t="e">
        <f>SUM(G354+Budget3[[#This Row],[Income]]-Budget3[[#This Row],[Credit]])</f>
        <v>#REF!</v>
      </c>
      <c r="H355" s="2" t="str">
        <f>TEXT(Budget3[[#This Row],[Date]], "mmm")</f>
        <v>Oct</v>
      </c>
      <c r="I355" s="2" t="s">
        <v>13</v>
      </c>
    </row>
    <row r="356" spans="1:9" x14ac:dyDescent="0.45">
      <c r="A356">
        <f>MONTH(Budget3[[#This Row],[Date]])</f>
        <v>10</v>
      </c>
      <c r="B356" s="1">
        <v>45933</v>
      </c>
      <c r="C356" t="s">
        <v>275</v>
      </c>
      <c r="D356" t="s">
        <v>16</v>
      </c>
      <c r="F356" s="2">
        <v>22.4</v>
      </c>
      <c r="G356" s="2" t="e">
        <f>SUM(G355+Budget3[[#This Row],[Income]]-Budget3[[#This Row],[Credit]])</f>
        <v>#REF!</v>
      </c>
      <c r="H356" s="2" t="str">
        <f>TEXT(Budget3[[#This Row],[Date]], "mmm")</f>
        <v>Oct</v>
      </c>
      <c r="I356" s="2" t="s">
        <v>16</v>
      </c>
    </row>
    <row r="357" spans="1:9" x14ac:dyDescent="0.45">
      <c r="A357">
        <f>MONTH(Budget3[[#This Row],[Date]])</f>
        <v>10</v>
      </c>
      <c r="B357" s="1">
        <v>45934</v>
      </c>
      <c r="C357" t="s">
        <v>276</v>
      </c>
      <c r="D357" t="s">
        <v>13</v>
      </c>
      <c r="F357" s="2">
        <v>36</v>
      </c>
      <c r="G357" s="2" t="e">
        <f>SUM(G356+Budget3[[#This Row],[Income]]-Budget3[[#This Row],[Credit]])</f>
        <v>#REF!</v>
      </c>
      <c r="H357" s="2" t="str">
        <f>TEXT(Budget3[[#This Row],[Date]], "mmm")</f>
        <v>Oct</v>
      </c>
      <c r="I357" s="2" t="s">
        <v>13</v>
      </c>
    </row>
    <row r="358" spans="1:9" x14ac:dyDescent="0.45">
      <c r="A358">
        <f>MONTH(Budget3[[#This Row],[Date]])</f>
        <v>10</v>
      </c>
      <c r="B358" s="1">
        <v>45934</v>
      </c>
      <c r="C358" t="s">
        <v>150</v>
      </c>
      <c r="D358" t="s">
        <v>100</v>
      </c>
      <c r="E358" s="2">
        <v>-27</v>
      </c>
      <c r="G358" s="2" t="e">
        <f>SUM(G357+Budget3[[#This Row],[Income]]-Budget3[[#This Row],[Credit]])</f>
        <v>#REF!</v>
      </c>
      <c r="H358" s="2" t="str">
        <f>TEXT(Budget3[[#This Row],[Date]], "mmm")</f>
        <v>Oct</v>
      </c>
      <c r="I358" s="2" t="s">
        <v>100</v>
      </c>
    </row>
    <row r="359" spans="1:9" x14ac:dyDescent="0.45">
      <c r="A359">
        <f>MONTH(Budget3[[#This Row],[Date]])</f>
        <v>10</v>
      </c>
      <c r="B359" s="1">
        <v>45934</v>
      </c>
      <c r="C359" t="s">
        <v>251</v>
      </c>
      <c r="D359" t="s">
        <v>39</v>
      </c>
      <c r="F359" s="2">
        <v>30.72</v>
      </c>
      <c r="G359" s="2" t="e">
        <f>SUM(G358+Budget3[[#This Row],[Income]]-Budget3[[#This Row],[Credit]])</f>
        <v>#REF!</v>
      </c>
      <c r="H359" s="2" t="str">
        <f>TEXT(Budget3[[#This Row],[Date]], "mmm")</f>
        <v>Oct</v>
      </c>
      <c r="I359" s="2" t="s">
        <v>339</v>
      </c>
    </row>
    <row r="360" spans="1:9" x14ac:dyDescent="0.45">
      <c r="A360">
        <f>MONTH(Budget3[[#This Row],[Date]])</f>
        <v>10</v>
      </c>
      <c r="B360" s="1">
        <v>45934</v>
      </c>
      <c r="C360" t="s">
        <v>151</v>
      </c>
      <c r="D360" t="s">
        <v>39</v>
      </c>
      <c r="F360" s="2">
        <v>17.14</v>
      </c>
      <c r="G360" s="2" t="e">
        <f>SUM(G359+Budget3[[#This Row],[Income]]-Budget3[[#This Row],[Credit]])</f>
        <v>#REF!</v>
      </c>
      <c r="H360" s="2" t="str">
        <f>TEXT(Budget3[[#This Row],[Date]], "mmm")</f>
        <v>Oct</v>
      </c>
      <c r="I360" s="2" t="s">
        <v>339</v>
      </c>
    </row>
    <row r="361" spans="1:9" x14ac:dyDescent="0.45">
      <c r="A361">
        <f>MONTH(Budget3[[#This Row],[Date]])</f>
        <v>10</v>
      </c>
      <c r="B361" s="1">
        <v>45936</v>
      </c>
      <c r="C361" t="s">
        <v>277</v>
      </c>
      <c r="D361" t="s">
        <v>130</v>
      </c>
      <c r="F361" s="2">
        <v>14.02</v>
      </c>
      <c r="G361" s="2" t="e">
        <f>SUM(G360+Budget3[[#This Row],[Income]]-Budget3[[#This Row],[Credit]])</f>
        <v>#REF!</v>
      </c>
      <c r="H361" s="2" t="str">
        <f>TEXT(Budget3[[#This Row],[Date]], "mmm")</f>
        <v>Oct</v>
      </c>
      <c r="I361" s="2" t="s">
        <v>312</v>
      </c>
    </row>
    <row r="362" spans="1:9" x14ac:dyDescent="0.45">
      <c r="A362">
        <f>MONTH(Budget3[[#This Row],[Date]])</f>
        <v>10</v>
      </c>
      <c r="B362" s="1">
        <v>45937</v>
      </c>
      <c r="C362" s="73" t="s">
        <v>162</v>
      </c>
      <c r="D362" t="s">
        <v>39</v>
      </c>
      <c r="F362" s="2">
        <v>8.8699999999999992</v>
      </c>
      <c r="G362" s="2" t="e">
        <f>SUM(G361+Budget3[[#This Row],[Income]]-Budget3[[#This Row],[Credit]])</f>
        <v>#REF!</v>
      </c>
      <c r="H362" s="2" t="str">
        <f>TEXT(Budget3[[#This Row],[Date]], "mmm")</f>
        <v>Oct</v>
      </c>
      <c r="I362" s="2" t="s">
        <v>339</v>
      </c>
    </row>
    <row r="363" spans="1:9" x14ac:dyDescent="0.45">
      <c r="A363">
        <f>MONTH(Budget3[[#This Row],[Date]])</f>
        <v>10</v>
      </c>
      <c r="B363" s="1">
        <v>45937</v>
      </c>
      <c r="C363" t="s">
        <v>18</v>
      </c>
      <c r="D363" t="s">
        <v>16</v>
      </c>
      <c r="F363" s="2">
        <v>35.229999999999997</v>
      </c>
      <c r="G363" s="2" t="e">
        <f>SUM(G362+Budget3[[#This Row],[Income]]-Budget3[[#This Row],[Credit]])</f>
        <v>#REF!</v>
      </c>
      <c r="H363" s="2" t="str">
        <f>TEXT(Budget3[[#This Row],[Date]], "mmm")</f>
        <v>Oct</v>
      </c>
      <c r="I363" s="2" t="s">
        <v>16</v>
      </c>
    </row>
    <row r="364" spans="1:9" x14ac:dyDescent="0.45">
      <c r="A364">
        <f>MONTH(Budget3[[#This Row],[Date]])</f>
        <v>10</v>
      </c>
      <c r="B364" s="1">
        <v>45939</v>
      </c>
      <c r="C364" t="s">
        <v>279</v>
      </c>
      <c r="D364" t="s">
        <v>130</v>
      </c>
      <c r="F364" s="2">
        <v>64.95</v>
      </c>
      <c r="G364" s="2" t="e">
        <f>SUM(G363+Budget3[[#This Row],[Income]]-Budget3[[#This Row],[Credit]])</f>
        <v>#REF!</v>
      </c>
      <c r="H364" s="2" t="str">
        <f>TEXT(Budget3[[#This Row],[Date]], "mmm")</f>
        <v>Oct</v>
      </c>
      <c r="I364" s="2" t="s">
        <v>312</v>
      </c>
    </row>
    <row r="365" spans="1:9" x14ac:dyDescent="0.45">
      <c r="A365">
        <f>MONTH(Budget3[[#This Row],[Date]])</f>
        <v>10</v>
      </c>
      <c r="B365" s="1">
        <v>45940</v>
      </c>
      <c r="C365" t="s">
        <v>280</v>
      </c>
      <c r="D365" t="s">
        <v>39</v>
      </c>
      <c r="F365" s="2">
        <v>4.32</v>
      </c>
      <c r="G365" s="2" t="e">
        <f>SUM(G364+Budget3[[#This Row],[Income]]-Budget3[[#This Row],[Credit]])</f>
        <v>#REF!</v>
      </c>
      <c r="H365" s="2" t="str">
        <f>TEXT(Budget3[[#This Row],[Date]], "mmm")</f>
        <v>Oct</v>
      </c>
      <c r="I365" s="2" t="s">
        <v>339</v>
      </c>
    </row>
    <row r="366" spans="1:9" x14ac:dyDescent="0.45">
      <c r="A366">
        <f>MONTH(Budget3[[#This Row],[Date]])</f>
        <v>10</v>
      </c>
      <c r="B366" s="1">
        <v>45942</v>
      </c>
      <c r="C366" t="s">
        <v>281</v>
      </c>
      <c r="D366" t="s">
        <v>39</v>
      </c>
      <c r="F366" s="2">
        <v>60.63</v>
      </c>
      <c r="G366" s="2" t="e">
        <f>SUM(G365+Budget3[[#This Row],[Income]]-Budget3[[#This Row],[Credit]])</f>
        <v>#REF!</v>
      </c>
      <c r="H366" s="2" t="str">
        <f>TEXT(Budget3[[#This Row],[Date]], "mmm")</f>
        <v>Oct</v>
      </c>
      <c r="I366" s="2" t="s">
        <v>339</v>
      </c>
    </row>
    <row r="367" spans="1:9" x14ac:dyDescent="0.45">
      <c r="A367">
        <f>MONTH(Budget3[[#This Row],[Date]])</f>
        <v>10</v>
      </c>
      <c r="B367" s="1">
        <v>45943</v>
      </c>
      <c r="C367" t="s">
        <v>282</v>
      </c>
      <c r="D367" t="s">
        <v>13</v>
      </c>
      <c r="F367" s="2">
        <v>69</v>
      </c>
      <c r="G367" s="2" t="e">
        <f>SUM(G366+Budget3[[#This Row],[Income]]-Budget3[[#This Row],[Credit]])</f>
        <v>#REF!</v>
      </c>
      <c r="H367" s="2" t="str">
        <f>TEXT(Budget3[[#This Row],[Date]], "mmm")</f>
        <v>Oct</v>
      </c>
      <c r="I367" s="2" t="s">
        <v>13</v>
      </c>
    </row>
    <row r="368" spans="1:9" x14ac:dyDescent="0.45">
      <c r="A368">
        <f>MONTH(Budget3[[#This Row],[Date]])</f>
        <v>10</v>
      </c>
      <c r="B368" s="1">
        <v>45943</v>
      </c>
      <c r="C368" t="s">
        <v>283</v>
      </c>
      <c r="D368" t="s">
        <v>13</v>
      </c>
      <c r="F368" s="2">
        <v>18.39</v>
      </c>
      <c r="G368" s="2" t="e">
        <f>SUM(G367+Budget3[[#This Row],[Income]]-Budget3[[#This Row],[Credit]])</f>
        <v>#REF!</v>
      </c>
      <c r="H368" s="2" t="str">
        <f>TEXT(Budget3[[#This Row],[Date]], "mmm")</f>
        <v>Oct</v>
      </c>
      <c r="I368" s="2" t="s">
        <v>13</v>
      </c>
    </row>
    <row r="369" spans="1:9" x14ac:dyDescent="0.45">
      <c r="A369">
        <f>MONTH(Budget3[[#This Row],[Date]])</f>
        <v>10</v>
      </c>
      <c r="B369" s="1">
        <v>45943</v>
      </c>
      <c r="C369" t="s">
        <v>283</v>
      </c>
      <c r="D369" t="s">
        <v>13</v>
      </c>
      <c r="F369" s="2">
        <v>16.23</v>
      </c>
      <c r="G369" s="2" t="e">
        <f>SUM(G368+Budget3[[#This Row],[Income]]-Budget3[[#This Row],[Credit]])</f>
        <v>#REF!</v>
      </c>
      <c r="H369" s="2" t="str">
        <f>TEXT(Budget3[[#This Row],[Date]], "mmm")</f>
        <v>Oct</v>
      </c>
      <c r="I369" s="2" t="s">
        <v>13</v>
      </c>
    </row>
    <row r="370" spans="1:9" x14ac:dyDescent="0.45">
      <c r="A370">
        <f>MONTH(Budget3[[#This Row],[Date]])</f>
        <v>10</v>
      </c>
      <c r="B370" s="1">
        <v>45943</v>
      </c>
      <c r="C370" t="s">
        <v>284</v>
      </c>
      <c r="D370" t="s">
        <v>39</v>
      </c>
      <c r="F370" s="2">
        <v>8.0500000000000007</v>
      </c>
      <c r="G370" s="2" t="e">
        <f>SUM(G369+Budget3[[#This Row],[Income]]-Budget3[[#This Row],[Credit]])</f>
        <v>#REF!</v>
      </c>
      <c r="H370" s="2" t="str">
        <f>TEXT(Budget3[[#This Row],[Date]], "mmm")</f>
        <v>Oct</v>
      </c>
      <c r="I370" s="2" t="s">
        <v>339</v>
      </c>
    </row>
    <row r="371" spans="1:9" x14ac:dyDescent="0.45">
      <c r="A371">
        <f>MONTH(Budget3[[#This Row],[Date]])</f>
        <v>10</v>
      </c>
      <c r="B371" s="1">
        <v>45944</v>
      </c>
      <c r="C371" t="s">
        <v>63</v>
      </c>
      <c r="D371" t="s">
        <v>39</v>
      </c>
      <c r="F371" s="2">
        <v>13.93</v>
      </c>
      <c r="G371" s="2" t="e">
        <f>SUM(G370+Budget3[[#This Row],[Income]]-Budget3[[#This Row],[Credit]])</f>
        <v>#REF!</v>
      </c>
      <c r="H371" s="2" t="str">
        <f>TEXT(Budget3[[#This Row],[Date]], "mmm")</f>
        <v>Oct</v>
      </c>
      <c r="I371" s="2" t="s">
        <v>339</v>
      </c>
    </row>
    <row r="372" spans="1:9" x14ac:dyDescent="0.45">
      <c r="A372">
        <f>MONTH(Budget3[[#This Row],[Date]])</f>
        <v>10</v>
      </c>
      <c r="B372" s="1">
        <v>45944</v>
      </c>
      <c r="C372" t="s">
        <v>18</v>
      </c>
      <c r="D372" t="s">
        <v>16</v>
      </c>
      <c r="F372" s="2">
        <v>39.76</v>
      </c>
      <c r="G372" s="2" t="e">
        <f>SUM(G371+Budget3[[#This Row],[Income]]-Budget3[[#This Row],[Credit]])</f>
        <v>#REF!</v>
      </c>
      <c r="H372" s="2" t="str">
        <f>TEXT(Budget3[[#This Row],[Date]], "mmm")</f>
        <v>Oct</v>
      </c>
      <c r="I372" s="2" t="s">
        <v>16</v>
      </c>
    </row>
    <row r="373" spans="1:9" x14ac:dyDescent="0.45">
      <c r="A373">
        <f>MONTH(Budget3[[#This Row],[Date]])</f>
        <v>10</v>
      </c>
      <c r="B373" s="1">
        <v>45945</v>
      </c>
      <c r="C373" t="s">
        <v>92</v>
      </c>
      <c r="D373" t="s">
        <v>130</v>
      </c>
      <c r="F373" s="2">
        <v>21.64</v>
      </c>
      <c r="G373" s="2" t="e">
        <f>SUM(G372+Budget3[[#This Row],[Income]]-Budget3[[#This Row],[Credit]])</f>
        <v>#REF!</v>
      </c>
      <c r="H373" s="2" t="str">
        <f>TEXT(Budget3[[#This Row],[Date]], "mmm")</f>
        <v>Oct</v>
      </c>
      <c r="I373" s="2" t="s">
        <v>344</v>
      </c>
    </row>
    <row r="374" spans="1:9" x14ac:dyDescent="0.45">
      <c r="A374">
        <f>MONTH(Budget3[[#This Row],[Date]])</f>
        <v>10</v>
      </c>
      <c r="B374" s="1">
        <v>45940</v>
      </c>
      <c r="C374" t="s">
        <v>98</v>
      </c>
      <c r="D374" t="s">
        <v>100</v>
      </c>
      <c r="E374" s="2">
        <v>-30</v>
      </c>
      <c r="G374" s="2" t="e">
        <f>SUM(G373+Budget3[[#This Row],[Income]]-Budget3[[#This Row],[Credit]])</f>
        <v>#REF!</v>
      </c>
      <c r="H374" s="2" t="str">
        <f>TEXT(Budget3[[#This Row],[Date]], "mmm")</f>
        <v>Oct</v>
      </c>
      <c r="I374" s="2" t="s">
        <v>100</v>
      </c>
    </row>
    <row r="375" spans="1:9" x14ac:dyDescent="0.45">
      <c r="A375">
        <f>MONTH(Budget3[[#This Row],[Date]])</f>
        <v>10</v>
      </c>
      <c r="B375" s="1">
        <v>45946</v>
      </c>
      <c r="C375" t="s">
        <v>17</v>
      </c>
      <c r="D375" t="s">
        <v>4</v>
      </c>
      <c r="E375" s="2">
        <v>438.82</v>
      </c>
      <c r="G375" s="2" t="e">
        <f>SUM(G374+Budget3[[#This Row],[Income]]-Budget3[[#This Row],[Credit]])</f>
        <v>#REF!</v>
      </c>
      <c r="H375" s="2" t="str">
        <f>TEXT(Budget3[[#This Row],[Date]], "mmm")</f>
        <v>Oct</v>
      </c>
      <c r="I375" s="2" t="str">
        <f>IF(ISNUMBER(SEARCH("income", Budget3[[#This Row],[Category]])), "Income", "")</f>
        <v>Income</v>
      </c>
    </row>
    <row r="376" spans="1:9" x14ac:dyDescent="0.45">
      <c r="A376">
        <f>MONTH(Budget3[[#This Row],[Date]])</f>
        <v>10</v>
      </c>
      <c r="B376" s="1">
        <v>45940</v>
      </c>
      <c r="C376" t="s">
        <v>285</v>
      </c>
      <c r="D376" t="s">
        <v>130</v>
      </c>
      <c r="F376" s="2">
        <v>-334.01</v>
      </c>
      <c r="G376" s="2" t="e">
        <f>SUM(G375+Budget3[[#This Row],[Income]]-Budget3[[#This Row],[Credit]])</f>
        <v>#REF!</v>
      </c>
      <c r="H376" s="2" t="str">
        <f>TEXT(Budget3[[#This Row],[Date]], "mmm")</f>
        <v>Oct</v>
      </c>
      <c r="I376" s="2" t="s">
        <v>312</v>
      </c>
    </row>
    <row r="377" spans="1:9" x14ac:dyDescent="0.45">
      <c r="A377">
        <f>MONTH(Budget3[[#This Row],[Date]])</f>
        <v>10</v>
      </c>
      <c r="B377" s="1">
        <v>45948</v>
      </c>
      <c r="C377" t="s">
        <v>349</v>
      </c>
      <c r="D377" s="1" t="s">
        <v>29</v>
      </c>
      <c r="F377" s="50">
        <v>259.81</v>
      </c>
      <c r="G377" s="2" t="e">
        <f>SUM(G376+Budget3[[#This Row],[Income]]-Budget3[[#This Row],[Credit]])</f>
        <v>#REF!</v>
      </c>
      <c r="H377" s="2" t="str">
        <f>TEXT(Budget3[[#This Row],[Date]], "mmm")</f>
        <v>Oct</v>
      </c>
      <c r="I377" s="2" t="s">
        <v>29</v>
      </c>
    </row>
    <row r="378" spans="1:9" x14ac:dyDescent="0.45">
      <c r="A378">
        <f>MONTH(Budget3[[#This Row],[Date]])</f>
        <v>10</v>
      </c>
      <c r="B378" s="1">
        <v>45947</v>
      </c>
      <c r="C378" t="s">
        <v>294</v>
      </c>
      <c r="D378" t="s">
        <v>130</v>
      </c>
      <c r="F378" s="2">
        <v>-334.01</v>
      </c>
      <c r="G378" s="2" t="e">
        <f>SUM(G377+Budget3[[#This Row],[Income]]-Budget3[[#This Row],[Credit]])</f>
        <v>#REF!</v>
      </c>
      <c r="H378" s="2" t="str">
        <f>TEXT(Budget3[[#This Row],[Date]], "mmm")</f>
        <v>Oct</v>
      </c>
      <c r="I378" s="2" t="s">
        <v>312</v>
      </c>
    </row>
    <row r="379" spans="1:9" x14ac:dyDescent="0.45">
      <c r="A379">
        <f>MONTH(Budget3[[#This Row],[Date]])</f>
        <v>10</v>
      </c>
      <c r="B379" s="1">
        <v>45947</v>
      </c>
      <c r="C379" t="s">
        <v>273</v>
      </c>
      <c r="D379" t="s">
        <v>130</v>
      </c>
      <c r="F379" s="2">
        <v>58.97</v>
      </c>
      <c r="G379" s="2" t="e">
        <f>SUM(G377+Budget3[[#This Row],[Income]]-Budget3[[#This Row],[Credit]])</f>
        <v>#REF!</v>
      </c>
      <c r="H379" s="2" t="str">
        <f>TEXT(Budget3[[#This Row],[Date]], "mmm")</f>
        <v>Oct</v>
      </c>
      <c r="I379" s="2" t="s">
        <v>312</v>
      </c>
    </row>
    <row r="380" spans="1:9" x14ac:dyDescent="0.45">
      <c r="A380">
        <f>MONTH(Budget3[[#This Row],[Date]])</f>
        <v>10</v>
      </c>
      <c r="B380" s="1">
        <v>45950</v>
      </c>
      <c r="C380" t="s">
        <v>45</v>
      </c>
      <c r="D380" t="s">
        <v>13</v>
      </c>
      <c r="F380" s="2">
        <v>38.340000000000003</v>
      </c>
      <c r="G380" s="2" t="e">
        <f>SUM(G379+Budget3[[#This Row],[Income]]-Budget3[[#This Row],[Credit]])</f>
        <v>#REF!</v>
      </c>
      <c r="H380" s="2" t="str">
        <f>TEXT(Budget3[[#This Row],[Date]], "mmm")</f>
        <v>Oct</v>
      </c>
      <c r="I380" s="2" t="s">
        <v>13</v>
      </c>
    </row>
    <row r="381" spans="1:9" x14ac:dyDescent="0.45">
      <c r="A381">
        <f>MONTH(Budget3[[#This Row],[Date]])</f>
        <v>10</v>
      </c>
      <c r="B381" s="1">
        <v>45950</v>
      </c>
      <c r="C381" t="s">
        <v>45</v>
      </c>
      <c r="D381" t="s">
        <v>13</v>
      </c>
      <c r="F381" s="2">
        <v>8.65</v>
      </c>
      <c r="G381" s="2" t="e">
        <f>SUM(G380+Budget3[[#This Row],[Income]]-Budget3[[#This Row],[Credit]])</f>
        <v>#REF!</v>
      </c>
      <c r="H381" s="2" t="str">
        <f>TEXT(Budget3[[#This Row],[Date]], "mmm")</f>
        <v>Oct</v>
      </c>
      <c r="I381" s="2" t="s">
        <v>13</v>
      </c>
    </row>
    <row r="382" spans="1:9" x14ac:dyDescent="0.45">
      <c r="A382">
        <f>MONTH(Budget3[[#This Row],[Date]])</f>
        <v>10</v>
      </c>
      <c r="B382" s="1">
        <v>45952</v>
      </c>
      <c r="C382" t="s">
        <v>286</v>
      </c>
      <c r="D382" t="s">
        <v>13</v>
      </c>
      <c r="F382" s="2">
        <v>28.15</v>
      </c>
      <c r="G382" s="2" t="e">
        <f>SUM(G381+Budget3[[#This Row],[Income]]-Budget3[[#This Row],[Credit]])</f>
        <v>#REF!</v>
      </c>
      <c r="H382" s="2" t="str">
        <f>TEXT(Budget3[[#This Row],[Date]], "mmm")</f>
        <v>Oct</v>
      </c>
      <c r="I382" s="2" t="s">
        <v>13</v>
      </c>
    </row>
    <row r="383" spans="1:9" x14ac:dyDescent="0.45">
      <c r="A383">
        <f>MONTH(Budget3[[#This Row],[Date]])</f>
        <v>10</v>
      </c>
      <c r="B383" s="1">
        <v>45952</v>
      </c>
      <c r="C383" t="s">
        <v>287</v>
      </c>
      <c r="D383" t="s">
        <v>39</v>
      </c>
      <c r="F383" s="2">
        <v>8.1300000000000008</v>
      </c>
      <c r="G383" s="2" t="e">
        <f>SUM(G382+Budget3[[#This Row],[Income]]-Budget3[[#This Row],[Credit]])</f>
        <v>#REF!</v>
      </c>
      <c r="H383" s="2" t="str">
        <f>TEXT(Budget3[[#This Row],[Date]], "mmm")</f>
        <v>Oct</v>
      </c>
      <c r="I383" s="2" t="s">
        <v>339</v>
      </c>
    </row>
    <row r="384" spans="1:9" x14ac:dyDescent="0.45">
      <c r="A384">
        <f>MONTH(Budget3[[#This Row],[Date]])</f>
        <v>10</v>
      </c>
      <c r="B384" s="1">
        <v>45952</v>
      </c>
      <c r="C384" t="s">
        <v>231</v>
      </c>
      <c r="D384" t="s">
        <v>130</v>
      </c>
      <c r="F384" s="2">
        <v>30.3</v>
      </c>
      <c r="G384" s="2" t="e">
        <f>SUM(G383+Budget3[[#This Row],[Income]]-Budget3[[#This Row],[Credit]])</f>
        <v>#REF!</v>
      </c>
      <c r="H384" s="2" t="str">
        <f>TEXT(Budget3[[#This Row],[Date]], "mmm")</f>
        <v>Oct</v>
      </c>
      <c r="I384" s="2" t="s">
        <v>343</v>
      </c>
    </row>
    <row r="385" spans="1:9" x14ac:dyDescent="0.45">
      <c r="A385">
        <f>MONTH(Budget3[[#This Row],[Date]])</f>
        <v>10</v>
      </c>
      <c r="B385" s="1">
        <v>45953</v>
      </c>
      <c r="C385" t="s">
        <v>149</v>
      </c>
      <c r="D385" t="s">
        <v>39</v>
      </c>
      <c r="F385" s="2">
        <v>36.4</v>
      </c>
      <c r="G385" s="2" t="e">
        <f>SUM(G384+Budget3[[#This Row],[Income]]-Budget3[[#This Row],[Credit]])</f>
        <v>#REF!</v>
      </c>
      <c r="H385" s="2" t="str">
        <f>TEXT(Budget3[[#This Row],[Date]], "mmm")</f>
        <v>Oct</v>
      </c>
      <c r="I385" s="2" t="s">
        <v>339</v>
      </c>
    </row>
    <row r="386" spans="1:9" x14ac:dyDescent="0.45">
      <c r="A386">
        <f>MONTH(Budget3[[#This Row],[Date]])</f>
        <v>10</v>
      </c>
      <c r="B386" s="1">
        <v>45953</v>
      </c>
      <c r="C386" t="s">
        <v>76</v>
      </c>
      <c r="D386" t="s">
        <v>39</v>
      </c>
      <c r="F386" s="2">
        <v>6.5</v>
      </c>
      <c r="G386" s="2" t="e">
        <f>SUM(G385+Budget3[[#This Row],[Income]]-Budget3[[#This Row],[Credit]])</f>
        <v>#REF!</v>
      </c>
      <c r="H386" s="2" t="str">
        <f>TEXT(Budget3[[#This Row],[Date]], "mmm")</f>
        <v>Oct</v>
      </c>
      <c r="I386" s="2" t="s">
        <v>339</v>
      </c>
    </row>
    <row r="387" spans="1:9" x14ac:dyDescent="0.45">
      <c r="A387">
        <f>MONTH(Budget3[[#This Row],[Date]])</f>
        <v>10</v>
      </c>
      <c r="B387" s="1">
        <v>45953</v>
      </c>
      <c r="C387" t="s">
        <v>288</v>
      </c>
      <c r="D387" t="s">
        <v>39</v>
      </c>
      <c r="F387" s="2">
        <v>70.34</v>
      </c>
      <c r="G387" s="2" t="e">
        <f>SUM(G386+Budget3[[#This Row],[Income]]-Budget3[[#This Row],[Credit]])</f>
        <v>#REF!</v>
      </c>
      <c r="H387" s="2" t="str">
        <f>TEXT(Budget3[[#This Row],[Date]], "mmm")</f>
        <v>Oct</v>
      </c>
      <c r="I387" s="2" t="s">
        <v>339</v>
      </c>
    </row>
    <row r="388" spans="1:9" x14ac:dyDescent="0.45">
      <c r="A388">
        <f>MONTH(Budget3[[#This Row],[Date]])</f>
        <v>10</v>
      </c>
      <c r="B388" s="1">
        <v>45953</v>
      </c>
      <c r="C388" t="s">
        <v>45</v>
      </c>
      <c r="D388" t="s">
        <v>13</v>
      </c>
      <c r="F388" s="2">
        <v>8.9600000000000009</v>
      </c>
      <c r="G388" s="2" t="e">
        <f>SUM(G387+Budget3[[#This Row],[Income]]-Budget3[[#This Row],[Credit]])</f>
        <v>#REF!</v>
      </c>
      <c r="H388" s="2" t="str">
        <f>TEXT(Budget3[[#This Row],[Date]], "mmm")</f>
        <v>Oct</v>
      </c>
      <c r="I388" s="2" t="s">
        <v>13</v>
      </c>
    </row>
    <row r="389" spans="1:9" x14ac:dyDescent="0.45">
      <c r="A389">
        <f>MONTH(Budget3[[#This Row],[Date]])</f>
        <v>10</v>
      </c>
      <c r="B389" s="1">
        <v>45953</v>
      </c>
      <c r="C389" t="s">
        <v>45</v>
      </c>
      <c r="D389" t="s">
        <v>13</v>
      </c>
      <c r="F389" s="2">
        <v>6.72</v>
      </c>
      <c r="G389" s="2" t="e">
        <f>SUM(G388+Budget3[[#This Row],[Income]]-Budget3[[#This Row],[Credit]])</f>
        <v>#REF!</v>
      </c>
      <c r="H389" s="2" t="str">
        <f>TEXT(Budget3[[#This Row],[Date]], "mmm")</f>
        <v>Oct</v>
      </c>
      <c r="I389" s="2" t="s">
        <v>13</v>
      </c>
    </row>
    <row r="390" spans="1:9" x14ac:dyDescent="0.45">
      <c r="A390">
        <f>MONTH(Budget3[[#This Row],[Date]])</f>
        <v>10</v>
      </c>
      <c r="B390" s="1">
        <v>45953</v>
      </c>
      <c r="C390" t="s">
        <v>18</v>
      </c>
      <c r="D390" t="s">
        <v>16</v>
      </c>
      <c r="F390" s="2">
        <v>20.350000000000001</v>
      </c>
      <c r="G390" s="2" t="e">
        <f>SUM(G389+Budget3[[#This Row],[Income]]-Budget3[[#This Row],[Credit]])</f>
        <v>#REF!</v>
      </c>
      <c r="H390" s="2" t="str">
        <f>TEXT(Budget3[[#This Row],[Date]], "mmm")</f>
        <v>Oct</v>
      </c>
      <c r="I390" s="2" t="s">
        <v>16</v>
      </c>
    </row>
    <row r="391" spans="1:9" x14ac:dyDescent="0.45">
      <c r="A391">
        <f>MONTH(Budget3[[#This Row],[Date]])</f>
        <v>10</v>
      </c>
      <c r="B391" s="1">
        <v>45954</v>
      </c>
      <c r="C391" t="s">
        <v>78</v>
      </c>
      <c r="D391" t="s">
        <v>13</v>
      </c>
      <c r="F391" s="2">
        <v>19.78</v>
      </c>
      <c r="G391" s="2" t="e">
        <f>SUM(G390+Budget3[[#This Row],[Income]]-Budget3[[#This Row],[Credit]])</f>
        <v>#REF!</v>
      </c>
      <c r="H391" s="2" t="str">
        <f>TEXT(Budget3[[#This Row],[Date]], "mmm")</f>
        <v>Oct</v>
      </c>
      <c r="I391" s="2" t="s">
        <v>13</v>
      </c>
    </row>
    <row r="392" spans="1:9" x14ac:dyDescent="0.45">
      <c r="A392">
        <f>MONTH(Budget3[[#This Row],[Date]])</f>
        <v>10</v>
      </c>
      <c r="B392" s="1">
        <v>45954</v>
      </c>
      <c r="C392" t="s">
        <v>289</v>
      </c>
      <c r="D392" t="s">
        <v>39</v>
      </c>
      <c r="F392" s="2">
        <v>21.82</v>
      </c>
      <c r="G392" s="2" t="e">
        <f>SUM(G391+Budget3[[#This Row],[Income]]-Budget3[[#This Row],[Credit]])</f>
        <v>#REF!</v>
      </c>
      <c r="H392" s="2" t="str">
        <f>TEXT(Budget3[[#This Row],[Date]], "mmm")</f>
        <v>Oct</v>
      </c>
      <c r="I392" s="2" t="s">
        <v>339</v>
      </c>
    </row>
    <row r="393" spans="1:9" x14ac:dyDescent="0.45">
      <c r="A393">
        <f>MONTH(Budget3[[#This Row],[Date]])</f>
        <v>10</v>
      </c>
      <c r="B393" s="1">
        <v>45955</v>
      </c>
      <c r="C393" t="s">
        <v>290</v>
      </c>
      <c r="D393" t="s">
        <v>130</v>
      </c>
      <c r="F393" s="2">
        <v>12.97</v>
      </c>
      <c r="G393" s="2" t="e">
        <f>SUM(G392+Budget3[[#This Row],[Income]]-Budget3[[#This Row],[Credit]])</f>
        <v>#REF!</v>
      </c>
      <c r="H393" s="2" t="str">
        <f>TEXT(Budget3[[#This Row],[Date]], "mmm")</f>
        <v>Oct</v>
      </c>
      <c r="I393" s="2" t="s">
        <v>343</v>
      </c>
    </row>
    <row r="394" spans="1:9" x14ac:dyDescent="0.45">
      <c r="A394">
        <f>MONTH(Budget3[[#This Row],[Date]])</f>
        <v>10</v>
      </c>
      <c r="B394" s="1">
        <v>45957</v>
      </c>
      <c r="C394" t="s">
        <v>290</v>
      </c>
      <c r="D394" t="s">
        <v>130</v>
      </c>
      <c r="F394" s="2">
        <v>2</v>
      </c>
      <c r="G394" s="2" t="e">
        <f>SUM(G393+Budget3[[#This Row],[Income]]-Budget3[[#This Row],[Credit]])</f>
        <v>#REF!</v>
      </c>
      <c r="H394" s="2" t="str">
        <f>TEXT(Budget3[[#This Row],[Date]], "mmm")</f>
        <v>Oct</v>
      </c>
      <c r="I394" s="2" t="s">
        <v>343</v>
      </c>
    </row>
    <row r="395" spans="1:9" x14ac:dyDescent="0.45">
      <c r="A395">
        <f>MONTH(Budget3[[#This Row],[Date]])</f>
        <v>10</v>
      </c>
      <c r="B395" s="1">
        <v>45957</v>
      </c>
      <c r="C395" t="s">
        <v>291</v>
      </c>
      <c r="D395" t="s">
        <v>39</v>
      </c>
      <c r="F395" s="2">
        <v>28.86</v>
      </c>
      <c r="G395" s="2" t="e">
        <f>SUM(G394+Budget3[[#This Row],[Income]]-Budget3[[#This Row],[Credit]])</f>
        <v>#REF!</v>
      </c>
      <c r="H395" s="2" t="str">
        <f>TEXT(Budget3[[#This Row],[Date]], "mmm")</f>
        <v>Oct</v>
      </c>
      <c r="I395" s="2" t="s">
        <v>339</v>
      </c>
    </row>
    <row r="396" spans="1:9" x14ac:dyDescent="0.45">
      <c r="A396">
        <f>MONTH(Budget3[[#This Row],[Date]])</f>
        <v>10</v>
      </c>
      <c r="B396" s="1">
        <v>45957</v>
      </c>
      <c r="C396" t="s">
        <v>292</v>
      </c>
      <c r="D396" t="s">
        <v>39</v>
      </c>
      <c r="F396" s="2">
        <v>28.36</v>
      </c>
      <c r="G396" s="2" t="e">
        <f>SUM(G395+Budget3[[#This Row],[Income]]-Budget3[[#This Row],[Credit]])</f>
        <v>#REF!</v>
      </c>
      <c r="H396" s="2" t="str">
        <f>TEXT(Budget3[[#This Row],[Date]], "mmm")</f>
        <v>Oct</v>
      </c>
      <c r="I396" s="2" t="s">
        <v>339</v>
      </c>
    </row>
    <row r="397" spans="1:9" x14ac:dyDescent="0.45">
      <c r="A397">
        <f>MONTH(Budget3[[#This Row],[Date]])</f>
        <v>10</v>
      </c>
      <c r="B397" s="1">
        <v>45957</v>
      </c>
      <c r="C397" t="s">
        <v>289</v>
      </c>
      <c r="D397" t="s">
        <v>39</v>
      </c>
      <c r="F397" s="2">
        <v>23.41</v>
      </c>
      <c r="G397" s="2" t="e">
        <f>SUM(G396+Budget3[[#This Row],[Income]]-Budget3[[#This Row],[Credit]])</f>
        <v>#REF!</v>
      </c>
      <c r="H397" s="2" t="str">
        <f>TEXT(Budget3[[#This Row],[Date]], "mmm")</f>
        <v>Oct</v>
      </c>
      <c r="I397" s="2" t="s">
        <v>339</v>
      </c>
    </row>
    <row r="398" spans="1:9" x14ac:dyDescent="0.45">
      <c r="A398">
        <f>MONTH(Budget3[[#This Row],[Date]])</f>
        <v>10</v>
      </c>
      <c r="B398" s="1">
        <v>45959</v>
      </c>
      <c r="C398" t="s">
        <v>251</v>
      </c>
      <c r="D398" t="s">
        <v>39</v>
      </c>
      <c r="F398" s="2">
        <v>35.92</v>
      </c>
      <c r="G398" s="2" t="e">
        <f>SUM(G397+Budget3[[#This Row],[Income]]-Budget3[[#This Row],[Credit]])</f>
        <v>#REF!</v>
      </c>
      <c r="H398" s="2" t="str">
        <f>TEXT(Budget3[[#This Row],[Date]], "mmm")</f>
        <v>Oct</v>
      </c>
      <c r="I398" s="2" t="s">
        <v>339</v>
      </c>
    </row>
    <row r="399" spans="1:9" x14ac:dyDescent="0.45">
      <c r="A399">
        <f>MONTH(Budget3[[#This Row],[Date]])</f>
        <v>10</v>
      </c>
      <c r="B399" s="1">
        <v>45960</v>
      </c>
      <c r="C399" t="s">
        <v>293</v>
      </c>
      <c r="D399" t="s">
        <v>130</v>
      </c>
      <c r="F399" s="2">
        <v>8.65</v>
      </c>
      <c r="G399" s="2" t="e">
        <f>SUM(G398+Budget3[[#This Row],[Income]]-Budget3[[#This Row],[Credit]])</f>
        <v>#REF!</v>
      </c>
      <c r="H399" s="2" t="str">
        <f>TEXT(Budget3[[#This Row],[Date]], "mmm")</f>
        <v>Oct</v>
      </c>
      <c r="I399" s="2" t="s">
        <v>345</v>
      </c>
    </row>
    <row r="400" spans="1:9" x14ac:dyDescent="0.45">
      <c r="A400">
        <f>MONTH(Budget3[[#This Row],[Date]])</f>
        <v>10</v>
      </c>
      <c r="B400" s="1">
        <v>45960</v>
      </c>
      <c r="C400" t="s">
        <v>78</v>
      </c>
      <c r="D400" t="s">
        <v>130</v>
      </c>
      <c r="F400" s="2">
        <v>12.97</v>
      </c>
      <c r="G400" s="2" t="e">
        <f>SUM(G399+Budget3[[#This Row],[Income]]-Budget3[[#This Row],[Credit]])</f>
        <v>#REF!</v>
      </c>
      <c r="H400" s="2" t="str">
        <f>TEXT(Budget3[[#This Row],[Date]], "mmm")</f>
        <v>Oct</v>
      </c>
      <c r="I400" s="2" t="s">
        <v>312</v>
      </c>
    </row>
    <row r="401" spans="1:11" x14ac:dyDescent="0.45">
      <c r="A401">
        <f>MONTH(Budget3[[#This Row],[Date]])</f>
        <v>10</v>
      </c>
      <c r="B401" s="1">
        <v>45960</v>
      </c>
      <c r="C401" t="s">
        <v>18</v>
      </c>
      <c r="D401" t="s">
        <v>16</v>
      </c>
      <c r="F401" s="2">
        <v>39.94</v>
      </c>
      <c r="G401" s="2" t="e">
        <f>SUM(G400+Budget3[[#This Row],[Income]]-Budget3[[#This Row],[Credit]])</f>
        <v>#REF!</v>
      </c>
      <c r="H401" s="2" t="str">
        <f>TEXT(Budget3[[#This Row],[Date]], "mmm")</f>
        <v>Oct</v>
      </c>
      <c r="I401" s="2" t="s">
        <v>16</v>
      </c>
    </row>
    <row r="402" spans="1:11" x14ac:dyDescent="0.45">
      <c r="A402">
        <f>MONTH(Budget3[[#This Row],[Date]])</f>
        <v>10</v>
      </c>
      <c r="B402" s="1">
        <v>45961</v>
      </c>
      <c r="C402" t="s">
        <v>284</v>
      </c>
      <c r="D402" t="s">
        <v>39</v>
      </c>
      <c r="F402" s="2">
        <v>13.83</v>
      </c>
      <c r="G402" s="2" t="e">
        <f>SUM(G401+Budget3[[#This Row],[Income]]-Budget3[[#This Row],[Credit]])</f>
        <v>#REF!</v>
      </c>
      <c r="H402" s="2" t="str">
        <f>TEXT(Budget3[[#This Row],[Date]], "mmm")</f>
        <v>Oct</v>
      </c>
      <c r="I402" s="2" t="s">
        <v>339</v>
      </c>
    </row>
    <row r="403" spans="1:11" x14ac:dyDescent="0.45">
      <c r="A403">
        <f>MONTH(Budget3[[#This Row],[Date]])</f>
        <v>10</v>
      </c>
      <c r="B403" s="1">
        <v>45961</v>
      </c>
      <c r="C403" t="s">
        <v>121</v>
      </c>
      <c r="D403" t="s">
        <v>39</v>
      </c>
      <c r="F403" s="2">
        <v>24.79</v>
      </c>
      <c r="G403" s="2" t="e">
        <f>SUM(G402+Budget3[[#This Row],[Income]]-Budget3[[#This Row],[Credit]])</f>
        <v>#REF!</v>
      </c>
      <c r="H403" s="2" t="str">
        <f>TEXT(Budget3[[#This Row],[Date]], "mmm")</f>
        <v>Oct</v>
      </c>
      <c r="I403" s="2" t="s">
        <v>339</v>
      </c>
    </row>
    <row r="404" spans="1:11" x14ac:dyDescent="0.45">
      <c r="A404">
        <f>MONTH(Budget3[[#This Row],[Date]])</f>
        <v>10</v>
      </c>
      <c r="B404" s="1">
        <v>45954</v>
      </c>
      <c r="C404" t="s">
        <v>150</v>
      </c>
      <c r="D404" t="s">
        <v>100</v>
      </c>
      <c r="E404" s="2">
        <v>-190</v>
      </c>
      <c r="G404" s="2" t="e">
        <f>SUM(G403+Budget3[[#This Row],[Income]]-Budget3[[#This Row],[Credit]])</f>
        <v>#REF!</v>
      </c>
      <c r="H404" s="2" t="str">
        <f>TEXT(Budget3[[#This Row],[Date]], "mmm")</f>
        <v>Oct</v>
      </c>
      <c r="I404" s="2" t="s">
        <v>100</v>
      </c>
    </row>
    <row r="405" spans="1:11" x14ac:dyDescent="0.45">
      <c r="A405">
        <f>MONTH(Budget3[[#This Row],[Date]])</f>
        <v>10</v>
      </c>
      <c r="B405" s="1">
        <v>45957</v>
      </c>
      <c r="C405" t="s">
        <v>295</v>
      </c>
      <c r="D405" t="s">
        <v>100</v>
      </c>
      <c r="E405" s="2">
        <v>-7</v>
      </c>
      <c r="G405" s="2" t="e">
        <f>SUM(G403+Budget3[[#This Row],[Income]]-Budget3[[#This Row],[Credit]])</f>
        <v>#REF!</v>
      </c>
      <c r="H405" s="2" t="str">
        <f>TEXT(Budget3[[#This Row],[Date]], "mmm")</f>
        <v>Oct</v>
      </c>
      <c r="I405" s="2" t="s">
        <v>100</v>
      </c>
    </row>
    <row r="406" spans="1:11" ht="14.65" thickBot="1" x14ac:dyDescent="0.5">
      <c r="A406" s="27">
        <f>MONTH(Budget3[[#This Row],[Date]])</f>
        <v>10</v>
      </c>
      <c r="B406" s="28">
        <v>45961</v>
      </c>
      <c r="C406" s="27" t="s">
        <v>32</v>
      </c>
      <c r="D406" s="27" t="s">
        <v>35</v>
      </c>
      <c r="E406" s="29"/>
      <c r="F406" s="30">
        <v>28.49</v>
      </c>
      <c r="G406" s="29" t="e">
        <f>SUM(G403+Budget3[[#This Row],[Income]]-Budget3[[#This Row],[Credit]])</f>
        <v>#REF!</v>
      </c>
      <c r="H406" s="2" t="str">
        <f>TEXT(Budget3[[#This Row],[Date]], "mmm")</f>
        <v>Oct</v>
      </c>
      <c r="I406" s="2" t="s">
        <v>9</v>
      </c>
    </row>
    <row r="407" spans="1:11" ht="14.65" thickTop="1" x14ac:dyDescent="0.45">
      <c r="A407">
        <f>MONTH(Budget3[[#This Row],[Date]])</f>
        <v>11</v>
      </c>
      <c r="B407" s="1">
        <v>45964</v>
      </c>
      <c r="C407" t="s">
        <v>349</v>
      </c>
      <c r="D407" s="1" t="s">
        <v>29</v>
      </c>
      <c r="F407" s="50">
        <v>261.10000000000002</v>
      </c>
      <c r="G407" s="2" t="e">
        <f>SUM(G406+Budget3[[#This Row],[Income]]-Budget3[[#This Row],[Credit]])</f>
        <v>#REF!</v>
      </c>
      <c r="H407" s="2" t="str">
        <f>TEXT(Budget3[[#This Row],[Date]], "mmm")</f>
        <v>Nov</v>
      </c>
      <c r="I407" s="2" t="s">
        <v>29</v>
      </c>
    </row>
    <row r="408" spans="1:11" x14ac:dyDescent="0.45">
      <c r="A408">
        <f>MONTH(Budget3[[#This Row],[Date]])</f>
        <v>11</v>
      </c>
      <c r="B408" s="1">
        <v>45963</v>
      </c>
      <c r="C408" t="s">
        <v>296</v>
      </c>
      <c r="D408" t="s">
        <v>39</v>
      </c>
      <c r="F408" s="2">
        <v>43</v>
      </c>
      <c r="G408" s="2" t="e">
        <f>SUM(G407+Budget3[[#This Row],[Income]]-Budget3[[#This Row],[Credit]])</f>
        <v>#REF!</v>
      </c>
      <c r="H408" s="2" t="str">
        <f>TEXT(Budget3[[#This Row],[Date]], "mmm")</f>
        <v>Nov</v>
      </c>
      <c r="I408" s="2" t="s">
        <v>339</v>
      </c>
    </row>
    <row r="409" spans="1:11" x14ac:dyDescent="0.45">
      <c r="A409">
        <f>MONTH(Budget3[[#This Row],[Date]])</f>
        <v>11</v>
      </c>
      <c r="B409" s="1">
        <v>45966</v>
      </c>
      <c r="C409" t="s">
        <v>297</v>
      </c>
      <c r="D409" t="s">
        <v>39</v>
      </c>
      <c r="F409" s="2">
        <v>23.25</v>
      </c>
      <c r="G409" s="2" t="e">
        <f>SUM(G408+Budget3[[#This Row],[Income]]-Budget3[[#This Row],[Credit]])</f>
        <v>#REF!</v>
      </c>
      <c r="H409" s="2" t="str">
        <f>TEXT(Budget3[[#This Row],[Date]], "mmm")</f>
        <v>Nov</v>
      </c>
      <c r="I409" s="2" t="s">
        <v>339</v>
      </c>
    </row>
    <row r="410" spans="1:11" x14ac:dyDescent="0.45">
      <c r="A410">
        <f>MONTH(Budget3[[#This Row],[Date]])</f>
        <v>11</v>
      </c>
      <c r="B410" s="1">
        <v>45967</v>
      </c>
      <c r="C410" t="s">
        <v>78</v>
      </c>
      <c r="D410" t="s">
        <v>13</v>
      </c>
      <c r="F410" s="2">
        <v>9.07</v>
      </c>
      <c r="G410" s="2" t="e">
        <f>SUM(G409+Budget3[[#This Row],[Income]]-Budget3[[#This Row],[Credit]])</f>
        <v>#REF!</v>
      </c>
      <c r="H410" s="2" t="str">
        <f>TEXT(Budget3[[#This Row],[Date]], "mmm")</f>
        <v>Nov</v>
      </c>
      <c r="I410" s="2" t="s">
        <v>13</v>
      </c>
    </row>
    <row r="411" spans="1:11" x14ac:dyDescent="0.45">
      <c r="A411">
        <f>MONTH(Budget3[[#This Row],[Date]])</f>
        <v>11</v>
      </c>
      <c r="B411" s="1">
        <v>45967</v>
      </c>
      <c r="C411" t="s">
        <v>48</v>
      </c>
      <c r="D411" t="s">
        <v>39</v>
      </c>
      <c r="F411" s="2">
        <v>6.04</v>
      </c>
      <c r="G411" s="2" t="e">
        <f>SUM(G410+Budget3[[#This Row],[Income]]-Budget3[[#This Row],[Credit]])</f>
        <v>#REF!</v>
      </c>
      <c r="H411" s="2" t="str">
        <f>TEXT(Budget3[[#This Row],[Date]], "mmm")</f>
        <v>Nov</v>
      </c>
      <c r="I411" s="2" t="s">
        <v>339</v>
      </c>
    </row>
    <row r="412" spans="1:11" x14ac:dyDescent="0.45">
      <c r="A412">
        <f>MONTH(Budget3[[#This Row],[Date]])</f>
        <v>11</v>
      </c>
      <c r="B412" s="1">
        <v>45967</v>
      </c>
      <c r="C412" t="s">
        <v>103</v>
      </c>
      <c r="D412" t="s">
        <v>39</v>
      </c>
      <c r="F412" s="2">
        <v>45.56</v>
      </c>
      <c r="G412" s="2" t="e">
        <f>SUM(G411+Budget3[[#This Row],[Income]]-Budget3[[#This Row],[Credit]])</f>
        <v>#REF!</v>
      </c>
      <c r="H412" s="2" t="str">
        <f>TEXT(Budget3[[#This Row],[Date]], "mmm")</f>
        <v>Nov</v>
      </c>
      <c r="I412" s="2" t="s">
        <v>339</v>
      </c>
    </row>
    <row r="413" spans="1:11" x14ac:dyDescent="0.45">
      <c r="A413">
        <f>MONTH(Budget3[[#This Row],[Date]])</f>
        <v>11</v>
      </c>
      <c r="B413" s="1">
        <v>45968</v>
      </c>
      <c r="C413" t="s">
        <v>298</v>
      </c>
      <c r="D413" t="s">
        <v>130</v>
      </c>
      <c r="F413" s="2">
        <v>91.98</v>
      </c>
      <c r="G413" s="2" t="e">
        <f>SUM(G412+Budget3[[#This Row],[Income]]-Budget3[[#This Row],[Credit]])</f>
        <v>#REF!</v>
      </c>
      <c r="H413" s="2" t="str">
        <f>TEXT(Budget3[[#This Row],[Date]], "mmm")</f>
        <v>Nov</v>
      </c>
      <c r="I413" s="2" t="s">
        <v>312</v>
      </c>
      <c r="K413" s="5"/>
    </row>
    <row r="414" spans="1:11" x14ac:dyDescent="0.45">
      <c r="A414">
        <f>MONTH(Budget3[[#This Row],[Date]])</f>
        <v>11</v>
      </c>
      <c r="B414" s="1">
        <v>45969</v>
      </c>
      <c r="C414" t="s">
        <v>12</v>
      </c>
      <c r="D414" t="s">
        <v>13</v>
      </c>
      <c r="F414" s="2">
        <v>6.46</v>
      </c>
      <c r="G414" s="2" t="e">
        <f>SUM(G413+Budget3[[#This Row],[Income]]-Budget3[[#This Row],[Credit]])</f>
        <v>#REF!</v>
      </c>
      <c r="H414" s="2" t="str">
        <f>TEXT(Budget3[[#This Row],[Date]], "mmm")</f>
        <v>Nov</v>
      </c>
      <c r="I414" s="2" t="s">
        <v>13</v>
      </c>
    </row>
    <row r="415" spans="1:11" x14ac:dyDescent="0.45">
      <c r="A415">
        <f>MONTH(Budget3[[#This Row],[Date]])</f>
        <v>11</v>
      </c>
      <c r="B415" s="1">
        <v>45969</v>
      </c>
      <c r="C415" t="s">
        <v>299</v>
      </c>
      <c r="D415" t="s">
        <v>39</v>
      </c>
      <c r="F415" s="2">
        <v>6.5</v>
      </c>
      <c r="G415" s="2" t="e">
        <f>SUM(G414+Budget3[[#This Row],[Income]]-Budget3[[#This Row],[Credit]])</f>
        <v>#REF!</v>
      </c>
      <c r="H415" s="2" t="str">
        <f>TEXT(Budget3[[#This Row],[Date]], "mmm")</f>
        <v>Nov</v>
      </c>
      <c r="I415" s="2" t="s">
        <v>339</v>
      </c>
    </row>
    <row r="416" spans="1:11" x14ac:dyDescent="0.45">
      <c r="A416">
        <f>MONTH(Budget3[[#This Row],[Date]])</f>
        <v>10</v>
      </c>
      <c r="B416" s="75">
        <v>45956</v>
      </c>
      <c r="C416" t="s">
        <v>290</v>
      </c>
      <c r="D416" t="s">
        <v>130</v>
      </c>
      <c r="F416" s="2">
        <v>18.64</v>
      </c>
      <c r="G416" s="2" t="e">
        <f>SUM(G415+Budget3[[#This Row],[Income]]-Budget3[[#This Row],[Credit]])</f>
        <v>#REF!</v>
      </c>
      <c r="H416" s="2" t="str">
        <f>TEXT(Budget3[[#This Row],[Date]], "mmm")</f>
        <v>Oct</v>
      </c>
      <c r="I416" s="2" t="s">
        <v>343</v>
      </c>
    </row>
    <row r="417" spans="1:11" x14ac:dyDescent="0.45">
      <c r="A417">
        <f>MONTH(Budget3[[#This Row],[Date]])</f>
        <v>11</v>
      </c>
      <c r="B417" s="1">
        <v>45969</v>
      </c>
      <c r="C417" t="s">
        <v>300</v>
      </c>
      <c r="D417" t="s">
        <v>130</v>
      </c>
      <c r="F417" s="2">
        <v>31.2</v>
      </c>
      <c r="G417" s="2" t="e">
        <f>SUM(G415+Budget3[[#This Row],[Income]]-Budget3[[#This Row],[Credit]])</f>
        <v>#REF!</v>
      </c>
      <c r="H417" s="2" t="str">
        <f>TEXT(Budget3[[#This Row],[Date]], "mmm")</f>
        <v>Nov</v>
      </c>
      <c r="I417" s="2" t="s">
        <v>343</v>
      </c>
    </row>
    <row r="418" spans="1:11" x14ac:dyDescent="0.45">
      <c r="A418">
        <f>MONTH(Budget3[[#This Row],[Date]])</f>
        <v>11</v>
      </c>
      <c r="B418" s="1">
        <v>45969</v>
      </c>
      <c r="C418" t="s">
        <v>18</v>
      </c>
      <c r="D418" t="s">
        <v>16</v>
      </c>
      <c r="F418" s="2">
        <v>26.64</v>
      </c>
      <c r="G418" s="2" t="e">
        <f>SUM(G417+Budget3[[#This Row],[Income]]-Budget3[[#This Row],[Credit]])</f>
        <v>#REF!</v>
      </c>
      <c r="H418" s="2" t="str">
        <f>TEXT(Budget3[[#This Row],[Date]], "mmm")</f>
        <v>Nov</v>
      </c>
      <c r="I418" s="2" t="s">
        <v>16</v>
      </c>
    </row>
    <row r="419" spans="1:11" x14ac:dyDescent="0.45">
      <c r="A419">
        <f>MONTH(Budget3[[#This Row],[Date]])</f>
        <v>11</v>
      </c>
      <c r="B419" s="1">
        <v>45962</v>
      </c>
      <c r="C419" t="s">
        <v>78</v>
      </c>
      <c r="D419" t="s">
        <v>130</v>
      </c>
      <c r="F419" s="2">
        <v>64.930000000000007</v>
      </c>
      <c r="G419" s="2" t="e">
        <f>SUM(G418+Budget3[[#This Row],[Income]]-Budget3[[#This Row],[Credit]])</f>
        <v>#REF!</v>
      </c>
      <c r="H419" s="2" t="str">
        <f>TEXT(Budget3[[#This Row],[Date]], "mmm")</f>
        <v>Nov</v>
      </c>
      <c r="I419" s="2" t="s">
        <v>312</v>
      </c>
    </row>
    <row r="420" spans="1:11" x14ac:dyDescent="0.45">
      <c r="A420">
        <f>MONTH(Budget3[[#This Row],[Date]])</f>
        <v>11</v>
      </c>
      <c r="B420" s="1">
        <v>45973</v>
      </c>
      <c r="C420" t="s">
        <v>301</v>
      </c>
      <c r="D420" t="s">
        <v>130</v>
      </c>
      <c r="F420" s="2">
        <v>1.07</v>
      </c>
      <c r="G420" s="2" t="e">
        <f>SUM(G419+Budget3[[#This Row],[Income]]-Budget3[[#This Row],[Credit]])</f>
        <v>#REF!</v>
      </c>
      <c r="H420" s="2" t="str">
        <f>TEXT(Budget3[[#This Row],[Date]], "mmm")</f>
        <v>Nov</v>
      </c>
      <c r="I420" s="2" t="s">
        <v>344</v>
      </c>
    </row>
    <row r="421" spans="1:11" x14ac:dyDescent="0.45">
      <c r="A421">
        <f>MONTH(Budget3[[#This Row],[Date]])</f>
        <v>11</v>
      </c>
      <c r="B421" s="1">
        <v>45965</v>
      </c>
      <c r="C421" t="s">
        <v>129</v>
      </c>
      <c r="D421" t="s">
        <v>100</v>
      </c>
      <c r="E421" s="2">
        <v>-15</v>
      </c>
      <c r="G421" s="2" t="e">
        <f>SUM(G420+Budget3[[#This Row],[Income]]-Budget3[[#This Row],[Credit]])</f>
        <v>#REF!</v>
      </c>
      <c r="H421" s="2" t="str">
        <f>TEXT(Budget3[[#This Row],[Date]], "mmm")</f>
        <v>Nov</v>
      </c>
      <c r="I421" s="2" t="s">
        <v>100</v>
      </c>
      <c r="K421" s="5"/>
    </row>
    <row r="422" spans="1:11" x14ac:dyDescent="0.45">
      <c r="A422">
        <f>MONTH(Budget3[[#This Row],[Date]])</f>
        <v>11</v>
      </c>
      <c r="B422" s="1">
        <v>45973</v>
      </c>
      <c r="C422" t="s">
        <v>129</v>
      </c>
      <c r="D422" t="s">
        <v>100</v>
      </c>
      <c r="E422" s="2">
        <v>-36</v>
      </c>
      <c r="G422" s="2" t="e">
        <f>SUM(G420+Budget3[[#This Row],[Income]]-Budget3[[#This Row],[Credit]])</f>
        <v>#REF!</v>
      </c>
      <c r="H422" s="2" t="str">
        <f>TEXT(Budget3[[#This Row],[Date]], "mmm")</f>
        <v>Nov</v>
      </c>
      <c r="I422" s="2" t="s">
        <v>100</v>
      </c>
    </row>
    <row r="423" spans="1:11" x14ac:dyDescent="0.45">
      <c r="A423">
        <f>MONTH(Budget3[[#This Row],[Date]])</f>
        <v>11</v>
      </c>
      <c r="B423" s="1">
        <v>45973</v>
      </c>
      <c r="C423" t="s">
        <v>302</v>
      </c>
      <c r="D423" t="s">
        <v>100</v>
      </c>
      <c r="E423" s="2">
        <v>-129.88999999999999</v>
      </c>
      <c r="G423" s="2" t="e">
        <f>SUM(G422+Budget3[[#This Row],[Income]]-Budget3[[#This Row],[Credit]])</f>
        <v>#REF!</v>
      </c>
      <c r="H423" s="2" t="str">
        <f>TEXT(Budget3[[#This Row],[Date]], "mmm")</f>
        <v>Nov</v>
      </c>
      <c r="I423" s="2" t="s">
        <v>100</v>
      </c>
    </row>
    <row r="424" spans="1:11" x14ac:dyDescent="0.45">
      <c r="A424">
        <f>MONTH(Budget3[[#This Row],[Date]])</f>
        <v>11</v>
      </c>
      <c r="B424" s="1">
        <v>45973</v>
      </c>
      <c r="C424" t="s">
        <v>303</v>
      </c>
      <c r="D424" t="s">
        <v>130</v>
      </c>
      <c r="F424" s="2">
        <v>96.38</v>
      </c>
      <c r="G424" s="2" t="e">
        <f>SUM(G423+Budget3[[#This Row],[Income]]-Budget3[[#This Row],[Credit]])</f>
        <v>#REF!</v>
      </c>
      <c r="H424" s="2" t="str">
        <f>TEXT(Budget3[[#This Row],[Date]], "mmm")</f>
        <v>Nov</v>
      </c>
      <c r="I424" s="2" t="s">
        <v>342</v>
      </c>
    </row>
    <row r="425" spans="1:11" x14ac:dyDescent="0.45">
      <c r="A425">
        <f>MONTH(Budget3[[#This Row],[Date]])</f>
        <v>11</v>
      </c>
      <c r="B425" s="1">
        <v>45973</v>
      </c>
      <c r="C425" t="s">
        <v>304</v>
      </c>
      <c r="D425" t="s">
        <v>130</v>
      </c>
      <c r="F425" s="2">
        <v>73.94</v>
      </c>
      <c r="G425" s="2" t="e">
        <f>SUM(G423+Budget3[[#This Row],[Income]]-Budget3[[#This Row],[Credit]])</f>
        <v>#REF!</v>
      </c>
      <c r="H425" s="2" t="str">
        <f>TEXT(Budget3[[#This Row],[Date]], "mmm")</f>
        <v>Nov</v>
      </c>
      <c r="I425" s="2" t="s">
        <v>342</v>
      </c>
    </row>
    <row r="426" spans="1:11" x14ac:dyDescent="0.45">
      <c r="A426">
        <f>MONTH(Budget3[[#This Row],[Date]])</f>
        <v>11</v>
      </c>
      <c r="B426" s="1">
        <v>45967</v>
      </c>
      <c r="C426" t="s">
        <v>229</v>
      </c>
      <c r="D426" t="s">
        <v>130</v>
      </c>
      <c r="F426" s="76">
        <v>129.88999999999999</v>
      </c>
      <c r="G426" s="2" t="e">
        <f>SUM(G420+Budget3[[#This Row],[Income]]-Budget3[[#This Row],[Credit]])</f>
        <v>#REF!</v>
      </c>
      <c r="H426" s="2" t="str">
        <f>TEXT(Budget3[[#This Row],[Date]], "mmm")</f>
        <v>Nov</v>
      </c>
      <c r="I426" s="2" t="s">
        <v>312</v>
      </c>
    </row>
    <row r="427" spans="1:11" x14ac:dyDescent="0.45">
      <c r="A427">
        <f>MONTH(Budget3[[#This Row],[Date]])</f>
        <v>11</v>
      </c>
      <c r="B427" s="1">
        <v>45975</v>
      </c>
      <c r="C427" t="s">
        <v>78</v>
      </c>
      <c r="D427" t="s">
        <v>130</v>
      </c>
      <c r="F427" s="2">
        <v>211.04</v>
      </c>
      <c r="G427" s="2" t="e">
        <f>SUM(G426+Budget3[[#This Row],[Income]]-Budget3[[#This Row],[Credit]])</f>
        <v>#REF!</v>
      </c>
      <c r="H427" s="2" t="str">
        <f>TEXT(Budget3[[#This Row],[Date]], "mmm")</f>
        <v>Nov</v>
      </c>
      <c r="I427" s="2" t="s">
        <v>312</v>
      </c>
    </row>
    <row r="428" spans="1:11" x14ac:dyDescent="0.45">
      <c r="A428">
        <f>MONTH(Budget3[[#This Row],[Date]])</f>
        <v>11</v>
      </c>
      <c r="B428" s="1">
        <v>45975</v>
      </c>
      <c r="C428" t="s">
        <v>273</v>
      </c>
      <c r="D428" t="s">
        <v>130</v>
      </c>
      <c r="F428" s="2">
        <v>48.61</v>
      </c>
      <c r="G428" s="2" t="e">
        <f>SUM(G426+Budget3[[#This Row],[Income]]-Budget3[[#This Row],[Credit]])</f>
        <v>#REF!</v>
      </c>
      <c r="H428" s="2" t="str">
        <f>TEXT(Budget3[[#This Row],[Date]], "mmm")</f>
        <v>Nov</v>
      </c>
      <c r="I428" s="2" t="s">
        <v>312</v>
      </c>
    </row>
    <row r="429" spans="1:11" x14ac:dyDescent="0.45">
      <c r="A429">
        <f>MONTH(Budget3[[#This Row],[Date]])</f>
        <v>11</v>
      </c>
      <c r="B429" s="1">
        <v>45974</v>
      </c>
      <c r="C429" t="s">
        <v>18</v>
      </c>
      <c r="D429" t="s">
        <v>16</v>
      </c>
      <c r="F429" s="2">
        <v>25.06</v>
      </c>
      <c r="G429" s="2" t="e">
        <f>SUM(G428+Budget3[[#This Row],[Income]]-Budget3[[#This Row],[Credit]])</f>
        <v>#REF!</v>
      </c>
      <c r="H429" s="2" t="str">
        <f>TEXT(Budget3[[#This Row],[Date]], "mmm")</f>
        <v>Nov</v>
      </c>
      <c r="I429" s="2" t="s">
        <v>16</v>
      </c>
    </row>
    <row r="430" spans="1:11" x14ac:dyDescent="0.45">
      <c r="A430">
        <f>MONTH(Budget3[[#This Row],[Date]])</f>
        <v>11</v>
      </c>
      <c r="B430" s="1">
        <v>45975</v>
      </c>
      <c r="C430" t="s">
        <v>12</v>
      </c>
      <c r="D430" t="s">
        <v>13</v>
      </c>
      <c r="F430" s="2">
        <v>49.77</v>
      </c>
      <c r="G430" s="2" t="e">
        <f>SUM(G429+Budget3[[#This Row],[Income]]-Budget3[[#This Row],[Credit]])</f>
        <v>#REF!</v>
      </c>
      <c r="H430" s="2" t="str">
        <f>TEXT(Budget3[[#This Row],[Date]], "mmm")</f>
        <v>Nov</v>
      </c>
      <c r="I430" s="2" t="s">
        <v>13</v>
      </c>
    </row>
    <row r="431" spans="1:11" x14ac:dyDescent="0.45">
      <c r="A431">
        <f>MONTH(Budget3[[#This Row],[Date]])</f>
        <v>11</v>
      </c>
      <c r="B431" s="1">
        <v>45975</v>
      </c>
      <c r="C431" t="s">
        <v>73</v>
      </c>
      <c r="D431" t="s">
        <v>39</v>
      </c>
      <c r="F431" s="2">
        <v>25</v>
      </c>
      <c r="G431" s="2" t="e">
        <f>SUM(G430+Budget3[[#This Row],[Income]]-Budget3[[#This Row],[Credit]])</f>
        <v>#REF!</v>
      </c>
      <c r="H431" s="2" t="str">
        <f>TEXT(Budget3[[#This Row],[Date]], "mmm")</f>
        <v>Nov</v>
      </c>
      <c r="I431" s="2" t="s">
        <v>339</v>
      </c>
    </row>
    <row r="432" spans="1:11" x14ac:dyDescent="0.45">
      <c r="A432">
        <f>MONTH(Budget3[[#This Row],[Date]])</f>
        <v>11</v>
      </c>
      <c r="B432" s="1">
        <v>45975</v>
      </c>
      <c r="C432" t="s">
        <v>73</v>
      </c>
      <c r="D432" t="s">
        <v>39</v>
      </c>
      <c r="F432" s="2">
        <v>10</v>
      </c>
      <c r="G432" s="2" t="e">
        <f>SUM(G431+Budget3[[#This Row],[Income]]-Budget3[[#This Row],[Credit]])</f>
        <v>#REF!</v>
      </c>
      <c r="H432" s="2" t="str">
        <f>TEXT(Budget3[[#This Row],[Date]], "mmm")</f>
        <v>Nov</v>
      </c>
      <c r="I432" s="2" t="s">
        <v>339</v>
      </c>
    </row>
    <row r="433" spans="1:9" x14ac:dyDescent="0.45">
      <c r="A433">
        <f>MONTH(Budget3[[#This Row],[Date]])</f>
        <v>11</v>
      </c>
      <c r="B433" s="1">
        <v>45975</v>
      </c>
      <c r="C433" t="s">
        <v>73</v>
      </c>
      <c r="D433" t="s">
        <v>39</v>
      </c>
      <c r="F433" s="2">
        <v>10</v>
      </c>
      <c r="G433" s="2" t="e">
        <f>SUM(G432+Budget3[[#This Row],[Income]]-Budget3[[#This Row],[Credit]])</f>
        <v>#REF!</v>
      </c>
      <c r="H433" s="2" t="str">
        <f>TEXT(Budget3[[#This Row],[Date]], "mmm")</f>
        <v>Nov</v>
      </c>
      <c r="I433" s="2" t="s">
        <v>339</v>
      </c>
    </row>
    <row r="434" spans="1:9" x14ac:dyDescent="0.45">
      <c r="A434">
        <f>MONTH(Budget3[[#This Row],[Date]])</f>
        <v>11</v>
      </c>
      <c r="B434" s="1">
        <v>45975</v>
      </c>
      <c r="C434" t="s">
        <v>73</v>
      </c>
      <c r="D434" t="s">
        <v>39</v>
      </c>
      <c r="F434" s="2">
        <v>3.25</v>
      </c>
      <c r="G434" s="2" t="e">
        <f>SUM(G433+Budget3[[#This Row],[Income]]-Budget3[[#This Row],[Credit]])</f>
        <v>#REF!</v>
      </c>
      <c r="H434" s="2" t="str">
        <f>TEXT(Budget3[[#This Row],[Date]], "mmm")</f>
        <v>Nov</v>
      </c>
      <c r="I434" s="2" t="s">
        <v>339</v>
      </c>
    </row>
    <row r="435" spans="1:9" x14ac:dyDescent="0.45">
      <c r="A435">
        <f>MONTH(Budget3[[#This Row],[Date]])</f>
        <v>11</v>
      </c>
      <c r="B435" s="1">
        <v>45976</v>
      </c>
      <c r="C435" t="s">
        <v>92</v>
      </c>
      <c r="D435" t="s">
        <v>130</v>
      </c>
      <c r="F435" s="2">
        <v>21.64</v>
      </c>
      <c r="G435" s="2" t="e">
        <f>SUM(G434+Budget3[[#This Row],[Income]]-Budget3[[#This Row],[Credit]])</f>
        <v>#REF!</v>
      </c>
      <c r="H435" s="2" t="str">
        <f>TEXT(Budget3[[#This Row],[Date]], "mmm")</f>
        <v>Nov</v>
      </c>
      <c r="I435" s="2" t="s">
        <v>344</v>
      </c>
    </row>
    <row r="436" spans="1:9" x14ac:dyDescent="0.45">
      <c r="A436">
        <f>MONTH(Budget3[[#This Row],[Date]])</f>
        <v>11</v>
      </c>
      <c r="B436" s="1">
        <v>45975</v>
      </c>
      <c r="C436" t="s">
        <v>150</v>
      </c>
      <c r="D436" t="s">
        <v>4</v>
      </c>
      <c r="E436" s="2">
        <v>45</v>
      </c>
      <c r="G436" s="2" t="e">
        <f>SUM(G435+Budget3[[#This Row],[Income]]-Budget3[[#This Row],[Credit]])</f>
        <v>#REF!</v>
      </c>
      <c r="H436" s="2" t="str">
        <f>TEXT(Budget3[[#This Row],[Date]], "mmm")</f>
        <v>Nov</v>
      </c>
      <c r="I436" s="2" t="s">
        <v>346</v>
      </c>
    </row>
    <row r="437" spans="1:9" x14ac:dyDescent="0.45">
      <c r="A437">
        <f>MONTH(Budget3[[#This Row],[Date]])</f>
        <v>11</v>
      </c>
      <c r="B437" s="1">
        <v>45978</v>
      </c>
      <c r="C437" t="s">
        <v>349</v>
      </c>
      <c r="D437" s="1" t="s">
        <v>29</v>
      </c>
      <c r="F437" s="50">
        <v>1078.92</v>
      </c>
      <c r="G437" s="2" t="e">
        <f>SUM(G436+Budget3[[#This Row],[Income]]-Budget3[[#This Row],[Credit]])</f>
        <v>#REF!</v>
      </c>
      <c r="H437" s="2" t="str">
        <f>TEXT(Budget3[[#This Row],[Date]], "mmm")</f>
        <v>Nov</v>
      </c>
      <c r="I437" s="2" t="s">
        <v>29</v>
      </c>
    </row>
    <row r="438" spans="1:9" x14ac:dyDescent="0.45">
      <c r="A438">
        <f>MONTH(Budget3[[#This Row],[Date]])</f>
        <v>11</v>
      </c>
      <c r="B438" s="1">
        <v>45978</v>
      </c>
      <c r="C438" t="s">
        <v>78</v>
      </c>
      <c r="D438" t="s">
        <v>130</v>
      </c>
      <c r="F438" s="2">
        <v>10.8</v>
      </c>
      <c r="G438" s="2" t="e">
        <f>SUM(G437+Budget3[[#This Row],[Income]]-Budget3[[#This Row],[Credit]])</f>
        <v>#REF!</v>
      </c>
      <c r="H438" s="2" t="str">
        <f>TEXT(Budget3[[#This Row],[Date]], "mmm")</f>
        <v>Nov</v>
      </c>
      <c r="I438" s="2" t="s">
        <v>312</v>
      </c>
    </row>
    <row r="439" spans="1:9" x14ac:dyDescent="0.45">
      <c r="A439">
        <f>MONTH(Budget3[[#This Row],[Date]])</f>
        <v>11</v>
      </c>
      <c r="B439" s="1">
        <v>45978</v>
      </c>
      <c r="C439" t="s">
        <v>78</v>
      </c>
      <c r="D439" t="s">
        <v>130</v>
      </c>
      <c r="F439" s="2">
        <v>10.8</v>
      </c>
      <c r="G439" s="2" t="e">
        <f>SUM(G438+Budget3[[#This Row],[Income]]-Budget3[[#This Row],[Credit]])</f>
        <v>#REF!</v>
      </c>
      <c r="H439" s="2" t="str">
        <f>TEXT(Budget3[[#This Row],[Date]], "mmm")</f>
        <v>Nov</v>
      </c>
      <c r="I439" s="2" t="s">
        <v>312</v>
      </c>
    </row>
    <row r="440" spans="1:9" x14ac:dyDescent="0.45">
      <c r="A440">
        <f>MONTH(Budget3[[#This Row],[Date]])</f>
        <v>11</v>
      </c>
      <c r="B440" s="1">
        <v>45979</v>
      </c>
      <c r="C440" t="s">
        <v>18</v>
      </c>
      <c r="D440" t="s">
        <v>16</v>
      </c>
      <c r="F440" s="2">
        <v>42.07</v>
      </c>
      <c r="G440" s="2" t="e">
        <f>SUM(G439+Budget3[[#This Row],[Income]]-Budget3[[#This Row],[Credit]])</f>
        <v>#REF!</v>
      </c>
      <c r="H440" s="2" t="str">
        <f>TEXT(Budget3[[#This Row],[Date]], "mmm")</f>
        <v>Nov</v>
      </c>
      <c r="I440" s="2" t="s">
        <v>16</v>
      </c>
    </row>
    <row r="441" spans="1:9" x14ac:dyDescent="0.45">
      <c r="A441">
        <f>MONTH(Budget3[[#This Row],[Date]])</f>
        <v>11</v>
      </c>
      <c r="B441" s="1">
        <v>45982</v>
      </c>
      <c r="C441" t="s">
        <v>78</v>
      </c>
      <c r="D441" t="s">
        <v>13</v>
      </c>
      <c r="F441" s="2">
        <v>16.21</v>
      </c>
      <c r="G441" s="2" t="e">
        <f>SUM(G440+Budget3[[#This Row],[Income]]-Budget3[[#This Row],[Credit]])</f>
        <v>#REF!</v>
      </c>
      <c r="H441" s="2" t="str">
        <f>TEXT(Budget3[[#This Row],[Date]], "mmm")</f>
        <v>Nov</v>
      </c>
      <c r="I441" s="2" t="s">
        <v>13</v>
      </c>
    </row>
    <row r="442" spans="1:9" x14ac:dyDescent="0.45">
      <c r="A442">
        <f>MONTH(Budget3[[#This Row],[Date]])</f>
        <v>11</v>
      </c>
      <c r="B442" s="1">
        <v>45982</v>
      </c>
      <c r="C442" t="s">
        <v>61</v>
      </c>
      <c r="D442" t="s">
        <v>13</v>
      </c>
      <c r="F442" s="2">
        <v>10</v>
      </c>
      <c r="G442" s="2" t="e">
        <f>SUM(G441+Budget3[[#This Row],[Income]]-Budget3[[#This Row],[Credit]])</f>
        <v>#REF!</v>
      </c>
      <c r="H442" s="2" t="str">
        <f>TEXT(Budget3[[#This Row],[Date]], "mmm")</f>
        <v>Nov</v>
      </c>
      <c r="I442" s="2" t="s">
        <v>13</v>
      </c>
    </row>
    <row r="443" spans="1:9" x14ac:dyDescent="0.45">
      <c r="A443">
        <f>MONTH(Budget3[[#This Row],[Date]])</f>
        <v>11</v>
      </c>
      <c r="B443" s="1">
        <v>45985</v>
      </c>
      <c r="C443" t="s">
        <v>45</v>
      </c>
      <c r="D443" t="s">
        <v>13</v>
      </c>
      <c r="F443" s="2">
        <v>7.76</v>
      </c>
      <c r="G443" s="2" t="e">
        <f>SUM(G442+Budget3[[#This Row],[Income]]-Budget3[[#This Row],[Credit]])</f>
        <v>#REF!</v>
      </c>
      <c r="H443" s="2" t="str">
        <f>TEXT(Budget3[[#This Row],[Date]], "mmm")</f>
        <v>Nov</v>
      </c>
      <c r="I443" s="2" t="s">
        <v>13</v>
      </c>
    </row>
    <row r="444" spans="1:9" x14ac:dyDescent="0.45">
      <c r="A444">
        <f>MONTH(Budget3[[#This Row],[Date]])</f>
        <v>11</v>
      </c>
      <c r="B444" s="1">
        <v>45986</v>
      </c>
      <c r="C444" t="s">
        <v>45</v>
      </c>
      <c r="D444" t="s">
        <v>13</v>
      </c>
      <c r="F444" s="2">
        <v>2.59</v>
      </c>
      <c r="G444" s="2" t="e">
        <f>SUM(G443+Budget3[[#This Row],[Income]]-Budget3[[#This Row],[Credit]])</f>
        <v>#REF!</v>
      </c>
      <c r="H444" s="2" t="str">
        <f>TEXT(Budget3[[#This Row],[Date]], "mmm")</f>
        <v>Nov</v>
      </c>
      <c r="I444" s="2" t="s">
        <v>13</v>
      </c>
    </row>
    <row r="445" spans="1:9" x14ac:dyDescent="0.45">
      <c r="A445">
        <f>MONTH(Budget3[[#This Row],[Date]])</f>
        <v>11</v>
      </c>
      <c r="B445" s="1">
        <v>45989</v>
      </c>
      <c r="C445" t="s">
        <v>243</v>
      </c>
      <c r="D445" t="s">
        <v>39</v>
      </c>
      <c r="F445" s="2">
        <v>14.29</v>
      </c>
      <c r="G445" s="2" t="e">
        <f>SUM(G444+Budget3[[#This Row],[Income]]-Budget3[[#This Row],[Credit]])</f>
        <v>#REF!</v>
      </c>
      <c r="H445" s="2" t="str">
        <f>TEXT(Budget3[[#This Row],[Date]], "mmm")</f>
        <v>Nov</v>
      </c>
      <c r="I445" s="2" t="s">
        <v>339</v>
      </c>
    </row>
    <row r="446" spans="1:9" ht="14.65" thickBot="1" x14ac:dyDescent="0.5">
      <c r="A446" s="27">
        <f>MONTH(Budget3[[#This Row],[Date]])</f>
        <v>11</v>
      </c>
      <c r="B446" s="28">
        <v>45991</v>
      </c>
      <c r="C446" s="27" t="s">
        <v>32</v>
      </c>
      <c r="D446" s="27" t="s">
        <v>35</v>
      </c>
      <c r="E446" s="29"/>
      <c r="F446" s="30">
        <v>27.65</v>
      </c>
      <c r="G446" s="29" t="e">
        <f>SUM(G445+Budget3[[#This Row],[Income]]-Budget3[[#This Row],[Credit]])</f>
        <v>#REF!</v>
      </c>
      <c r="H446" s="2" t="str">
        <f>TEXT(Budget3[[#This Row],[Date]], "mmm")</f>
        <v>Nov</v>
      </c>
      <c r="I446" s="2" t="s">
        <v>9</v>
      </c>
    </row>
    <row r="447" spans="1:9" ht="14.65" thickTop="1" x14ac:dyDescent="0.45">
      <c r="A447">
        <f>MONTH(Budget3[[#This Row],[Date]])</f>
        <v>12</v>
      </c>
      <c r="B447" s="1">
        <v>45992</v>
      </c>
      <c r="C447" t="s">
        <v>305</v>
      </c>
      <c r="D447" t="s">
        <v>130</v>
      </c>
      <c r="F447" s="2">
        <v>14.02</v>
      </c>
      <c r="G447" s="2" t="e">
        <f>SUM(G446+Budget3[[#This Row],[Income]]-Budget3[[#This Row],[Credit]])</f>
        <v>#REF!</v>
      </c>
      <c r="H447" s="2" t="str">
        <f>TEXT(Budget3[[#This Row],[Date]], "mmm")</f>
        <v>Dec</v>
      </c>
      <c r="I447" s="2" t="s">
        <v>312</v>
      </c>
    </row>
    <row r="448" spans="1:9" x14ac:dyDescent="0.45">
      <c r="A448">
        <f>MONTH(Budget3[[#This Row],[Date]])</f>
        <v>12</v>
      </c>
      <c r="B448" s="1">
        <v>45994</v>
      </c>
      <c r="C448" t="s">
        <v>349</v>
      </c>
      <c r="D448" s="1" t="s">
        <v>29</v>
      </c>
      <c r="F448" s="50">
        <v>128.54</v>
      </c>
      <c r="G448" s="2" t="e">
        <f>SUM(G447+Budget3[[#This Row],[Income]]-Budget3[[#This Row],[Credit]])</f>
        <v>#REF!</v>
      </c>
      <c r="H448" s="2" t="str">
        <f>TEXT(Budget3[[#This Row],[Date]], "mmm")</f>
        <v>Dec</v>
      </c>
      <c r="I448" s="2" t="s">
        <v>29</v>
      </c>
    </row>
    <row r="449" spans="1:11" x14ac:dyDescent="0.45">
      <c r="A449">
        <f>MONTH(Budget3[[#This Row],[Date]])</f>
        <v>12</v>
      </c>
      <c r="B449" s="1">
        <v>45998</v>
      </c>
      <c r="C449" t="s">
        <v>98</v>
      </c>
      <c r="D449" t="s">
        <v>4</v>
      </c>
      <c r="E449" s="2">
        <v>37</v>
      </c>
      <c r="G449" s="2" t="e">
        <f>SUM(G448+Budget3[[#This Row],[Income]]-Budget3[[#This Row],[Credit]])</f>
        <v>#REF!</v>
      </c>
      <c r="H449" s="2" t="str">
        <f>TEXT(Budget3[[#This Row],[Date]], "mmm")</f>
        <v>Dec</v>
      </c>
      <c r="I449" s="2" t="s">
        <v>346</v>
      </c>
    </row>
    <row r="450" spans="1:11" x14ac:dyDescent="0.45">
      <c r="A450">
        <f>MONTH(Budget3[[#This Row],[Date]])</f>
        <v>12</v>
      </c>
      <c r="B450" s="1">
        <v>46001</v>
      </c>
      <c r="C450" t="s">
        <v>306</v>
      </c>
      <c r="D450" t="s">
        <v>4</v>
      </c>
      <c r="E450" s="2">
        <v>5</v>
      </c>
      <c r="G450" s="2" t="e">
        <f>SUM(G449+Budget3[[#This Row],[Income]]-Budget3[[#This Row],[Credit]])</f>
        <v>#REF!</v>
      </c>
      <c r="H450" s="2" t="str">
        <f>TEXT(Budget3[[#This Row],[Date]], "mmm")</f>
        <v>Dec</v>
      </c>
      <c r="I450" s="2" t="s">
        <v>346</v>
      </c>
    </row>
    <row r="451" spans="1:11" x14ac:dyDescent="0.45">
      <c r="A451">
        <f>MONTH(Budget3[[#This Row],[Date]])</f>
        <v>12</v>
      </c>
      <c r="B451" s="1">
        <v>45992</v>
      </c>
      <c r="C451" t="s">
        <v>123</v>
      </c>
      <c r="D451" t="s">
        <v>130</v>
      </c>
      <c r="F451" s="2">
        <v>86.59</v>
      </c>
      <c r="G451" s="2" t="e">
        <f>SUM(G450+Budget3[[#This Row],[Income]]-Budget3[[#This Row],[Credit]])</f>
        <v>#REF!</v>
      </c>
      <c r="H451" s="2" t="str">
        <f>TEXT(Budget3[[#This Row],[Date]], "mmm")</f>
        <v>Dec</v>
      </c>
      <c r="I451" s="2" t="s">
        <v>312</v>
      </c>
    </row>
    <row r="452" spans="1:11" x14ac:dyDescent="0.45">
      <c r="A452">
        <f>MONTH(Budget3[[#This Row],[Date]])</f>
        <v>12</v>
      </c>
      <c r="B452" s="1">
        <v>45993</v>
      </c>
      <c r="C452" t="s">
        <v>307</v>
      </c>
      <c r="D452" t="s">
        <v>13</v>
      </c>
      <c r="F452" s="2">
        <v>57.48</v>
      </c>
      <c r="G452" s="2" t="e">
        <f>SUM(G451+Budget3[[#This Row],[Income]]-Budget3[[#This Row],[Credit]])</f>
        <v>#REF!</v>
      </c>
      <c r="H452" s="2" t="str">
        <f>TEXT(Budget3[[#This Row],[Date]], "mmm")</f>
        <v>Dec</v>
      </c>
      <c r="I452" s="2" t="s">
        <v>13</v>
      </c>
      <c r="K452" s="5"/>
    </row>
    <row r="453" spans="1:11" x14ac:dyDescent="0.45">
      <c r="A453">
        <f>MONTH(Budget3[[#This Row],[Date]])</f>
        <v>12</v>
      </c>
      <c r="B453" s="1">
        <v>45993</v>
      </c>
      <c r="C453" t="s">
        <v>45</v>
      </c>
      <c r="D453" t="s">
        <v>13</v>
      </c>
      <c r="F453" s="2">
        <v>23.75</v>
      </c>
      <c r="G453" s="2" t="e">
        <f>SUM(G452+Budget3[[#This Row],[Income]]-Budget3[[#This Row],[Credit]])</f>
        <v>#REF!</v>
      </c>
      <c r="H453" s="2" t="str">
        <f>TEXT(Budget3[[#This Row],[Date]], "mmm")</f>
        <v>Dec</v>
      </c>
      <c r="I453" s="2" t="s">
        <v>13</v>
      </c>
    </row>
    <row r="454" spans="1:11" x14ac:dyDescent="0.45">
      <c r="A454">
        <f>MONTH(Budget3[[#This Row],[Date]])</f>
        <v>12</v>
      </c>
      <c r="B454" s="1">
        <v>45993</v>
      </c>
      <c r="C454" t="s">
        <v>18</v>
      </c>
      <c r="D454" t="s">
        <v>16</v>
      </c>
      <c r="F454" s="2">
        <v>36.24</v>
      </c>
      <c r="G454" s="2" t="e">
        <f>SUM(G453+Budget3[[#This Row],[Income]]-Budget3[[#This Row],[Credit]])</f>
        <v>#REF!</v>
      </c>
      <c r="H454" s="2" t="str">
        <f>TEXT(Budget3[[#This Row],[Date]], "mmm")</f>
        <v>Dec</v>
      </c>
      <c r="I454" s="2" t="s">
        <v>16</v>
      </c>
    </row>
    <row r="455" spans="1:11" x14ac:dyDescent="0.45">
      <c r="A455">
        <f>MONTH(Budget3[[#This Row],[Date]])</f>
        <v>12</v>
      </c>
      <c r="B455" s="1">
        <v>45994</v>
      </c>
      <c r="C455" t="s">
        <v>12</v>
      </c>
      <c r="D455" t="s">
        <v>130</v>
      </c>
      <c r="F455" s="2">
        <v>405.94</v>
      </c>
      <c r="G455" s="2" t="e">
        <f>SUM(G454+Budget3[[#This Row],[Income]]-Budget3[[#This Row],[Credit]])</f>
        <v>#REF!</v>
      </c>
      <c r="H455" s="2" t="str">
        <f>TEXT(Budget3[[#This Row],[Date]], "mmm")</f>
        <v>Dec</v>
      </c>
      <c r="I455" s="2" t="s">
        <v>312</v>
      </c>
    </row>
    <row r="456" spans="1:11" x14ac:dyDescent="0.45">
      <c r="A456">
        <f>MONTH(Budget3[[#This Row],[Date]])</f>
        <v>12</v>
      </c>
      <c r="B456" s="1">
        <v>45994</v>
      </c>
      <c r="C456" t="s">
        <v>45</v>
      </c>
      <c r="D456" t="s">
        <v>13</v>
      </c>
      <c r="F456" s="2">
        <v>6.67</v>
      </c>
      <c r="G456" s="2" t="e">
        <f>SUM(G455+Budget3[[#This Row],[Income]]-Budget3[[#This Row],[Credit]])</f>
        <v>#REF!</v>
      </c>
      <c r="H456" s="2" t="str">
        <f>TEXT(Budget3[[#This Row],[Date]], "mmm")</f>
        <v>Dec</v>
      </c>
      <c r="I456" s="2" t="s">
        <v>13</v>
      </c>
    </row>
    <row r="457" spans="1:11" x14ac:dyDescent="0.45">
      <c r="A457">
        <f>MONTH(Budget3[[#This Row],[Date]])</f>
        <v>12</v>
      </c>
      <c r="B457" s="1">
        <v>45995</v>
      </c>
      <c r="C457" t="s">
        <v>308</v>
      </c>
      <c r="D457" t="s">
        <v>13</v>
      </c>
      <c r="F457" s="2">
        <v>19.16</v>
      </c>
      <c r="G457" s="2" t="e">
        <f>SUM(G456+Budget3[[#This Row],[Income]]-Budget3[[#This Row],[Credit]])</f>
        <v>#REF!</v>
      </c>
      <c r="H457" s="2" t="str">
        <f>TEXT(Budget3[[#This Row],[Date]], "mmm")</f>
        <v>Dec</v>
      </c>
      <c r="I457" s="2" t="s">
        <v>13</v>
      </c>
    </row>
    <row r="458" spans="1:11" x14ac:dyDescent="0.45">
      <c r="A458">
        <f>MONTH(Budget3[[#This Row],[Date]])</f>
        <v>12</v>
      </c>
      <c r="B458" s="1">
        <v>45996</v>
      </c>
      <c r="C458" t="s">
        <v>309</v>
      </c>
      <c r="D458" t="s">
        <v>39</v>
      </c>
      <c r="F458" s="2">
        <v>94</v>
      </c>
      <c r="G458" s="2" t="e">
        <f>SUM(G457+Budget3[[#This Row],[Income]]-Budget3[[#This Row],[Credit]])</f>
        <v>#REF!</v>
      </c>
      <c r="H458" s="2" t="str">
        <f>TEXT(Budget3[[#This Row],[Date]], "mmm")</f>
        <v>Dec</v>
      </c>
      <c r="I458" s="2" t="s">
        <v>339</v>
      </c>
    </row>
    <row r="459" spans="1:11" x14ac:dyDescent="0.45">
      <c r="A459">
        <f>MONTH(Budget3[[#This Row],[Date]])</f>
        <v>12</v>
      </c>
      <c r="B459" s="1">
        <v>46001</v>
      </c>
      <c r="C459" t="s">
        <v>18</v>
      </c>
      <c r="D459" t="s">
        <v>16</v>
      </c>
      <c r="F459" s="2">
        <v>37.049999999999997</v>
      </c>
      <c r="G459" s="2" t="e">
        <f>SUM(G458+Budget3[[#This Row],[Income]]-Budget3[[#This Row],[Credit]])</f>
        <v>#REF!</v>
      </c>
      <c r="H459" s="2" t="str">
        <f>TEXT(Budget3[[#This Row],[Date]], "mmm")</f>
        <v>Dec</v>
      </c>
      <c r="I459" s="2" t="s">
        <v>16</v>
      </c>
    </row>
    <row r="460" spans="1:11" x14ac:dyDescent="0.45">
      <c r="A460">
        <f>MONTH(Budget3[[#This Row],[Date]])</f>
        <v>12</v>
      </c>
      <c r="B460" s="1">
        <v>46002</v>
      </c>
      <c r="C460" t="s">
        <v>310</v>
      </c>
      <c r="D460" t="s">
        <v>13</v>
      </c>
      <c r="F460" s="2">
        <v>28.12</v>
      </c>
      <c r="G460" s="2" t="e">
        <f>SUM(G459+Budget3[[#This Row],[Income]]-Budget3[[#This Row],[Credit]])</f>
        <v>#REF!</v>
      </c>
      <c r="H460" s="2" t="str">
        <f>TEXT(Budget3[[#This Row],[Date]], "mmm")</f>
        <v>Dec</v>
      </c>
      <c r="I460" s="2" t="s">
        <v>13</v>
      </c>
    </row>
    <row r="461" spans="1:11" x14ac:dyDescent="0.45">
      <c r="A461">
        <f>MONTH(Budget3[[#This Row],[Date]])</f>
        <v>12</v>
      </c>
      <c r="B461" s="1">
        <v>46004</v>
      </c>
      <c r="C461" t="s">
        <v>132</v>
      </c>
      <c r="D461" t="s">
        <v>39</v>
      </c>
      <c r="F461" s="2">
        <v>7.48</v>
      </c>
      <c r="G461" s="2" t="e">
        <f>SUM(G460+Budget3[[#This Row],[Income]]-Budget3[[#This Row],[Credit]])</f>
        <v>#REF!</v>
      </c>
      <c r="H461" s="2" t="str">
        <f>TEXT(Budget3[[#This Row],[Date]], "mmm")</f>
        <v>Dec</v>
      </c>
      <c r="I461" s="2" t="s">
        <v>339</v>
      </c>
    </row>
    <row r="462" spans="1:11" x14ac:dyDescent="0.45">
      <c r="A462">
        <f>MONTH(Budget3[[#This Row],[Date]])</f>
        <v>12</v>
      </c>
      <c r="B462" s="1">
        <v>46006</v>
      </c>
      <c r="C462" t="s">
        <v>92</v>
      </c>
      <c r="D462" t="s">
        <v>130</v>
      </c>
      <c r="F462" s="2">
        <v>21.64</v>
      </c>
      <c r="G462" s="2" t="e">
        <f>SUM(G461+Budget3[[#This Row],[Income]]-Budget3[[#This Row],[Credit]])</f>
        <v>#REF!</v>
      </c>
      <c r="H462" s="2" t="str">
        <f>TEXT(Budget3[[#This Row],[Date]], "mmm")</f>
        <v>Dec</v>
      </c>
      <c r="I462" s="2" t="s">
        <v>344</v>
      </c>
    </row>
    <row r="463" spans="1:11" x14ac:dyDescent="0.45">
      <c r="A463">
        <f>MONTH(Budget3[[#This Row],[Date]])</f>
        <v>12</v>
      </c>
      <c r="B463" s="1">
        <v>46009</v>
      </c>
      <c r="C463" t="s">
        <v>349</v>
      </c>
      <c r="D463" s="1" t="s">
        <v>29</v>
      </c>
      <c r="F463" s="50">
        <v>824.12</v>
      </c>
      <c r="G463" s="2" t="e">
        <f>SUM(G462+Budget3[[#This Row],[Income]]-Budget3[[#This Row],[Credit]])</f>
        <v>#REF!</v>
      </c>
      <c r="H463" s="2" t="str">
        <f>TEXT(Budget3[[#This Row],[Date]], "mmm")</f>
        <v>Dec</v>
      </c>
      <c r="I463" s="2" t="s">
        <v>29</v>
      </c>
    </row>
    <row r="464" spans="1:11" x14ac:dyDescent="0.45">
      <c r="A464">
        <f>MONTH(Budget3[[#This Row],[Date]])</f>
        <v>12</v>
      </c>
      <c r="B464" s="1">
        <v>46008</v>
      </c>
      <c r="C464" t="s">
        <v>299</v>
      </c>
      <c r="D464" t="s">
        <v>39</v>
      </c>
      <c r="F464" s="2">
        <v>20.36</v>
      </c>
      <c r="G464" s="2" t="e">
        <f>SUM(G463+Budget3[[#This Row],[Income]]-Budget3[[#This Row],[Credit]])</f>
        <v>#REF!</v>
      </c>
      <c r="H464" s="2" t="str">
        <f>TEXT(Budget3[[#This Row],[Date]], "mmm")</f>
        <v>Dec</v>
      </c>
      <c r="I464" s="2" t="s">
        <v>339</v>
      </c>
    </row>
    <row r="465" spans="1:9" x14ac:dyDescent="0.45">
      <c r="A465">
        <f>MONTH(Budget3[[#This Row],[Date]])</f>
        <v>12</v>
      </c>
      <c r="B465" s="1">
        <v>46009</v>
      </c>
      <c r="C465" t="s">
        <v>78</v>
      </c>
      <c r="D465" t="s">
        <v>13</v>
      </c>
      <c r="F465" s="2">
        <v>104.78</v>
      </c>
      <c r="G465" s="2" t="e">
        <f>SUM(G464+Budget3[[#This Row],[Income]]-Budget3[[#This Row],[Credit]])</f>
        <v>#REF!</v>
      </c>
      <c r="H465" s="2" t="str">
        <f>TEXT(Budget3[[#This Row],[Date]], "mmm")</f>
        <v>Dec</v>
      </c>
      <c r="I465" s="2" t="s">
        <v>13</v>
      </c>
    </row>
    <row r="466" spans="1:9" x14ac:dyDescent="0.45">
      <c r="A466">
        <f>MONTH(Budget3[[#This Row],[Date]])</f>
        <v>12</v>
      </c>
      <c r="B466" s="1">
        <v>46011</v>
      </c>
      <c r="C466" t="s">
        <v>275</v>
      </c>
      <c r="D466" t="s">
        <v>16</v>
      </c>
      <c r="F466" s="2">
        <v>40.869999999999997</v>
      </c>
      <c r="G466" s="2" t="e">
        <f>SUM(G465+Budget3[[#This Row],[Income]]-Budget3[[#This Row],[Credit]])</f>
        <v>#REF!</v>
      </c>
      <c r="H466" s="2" t="str">
        <f>TEXT(Budget3[[#This Row],[Date]], "mmm")</f>
        <v>Dec</v>
      </c>
      <c r="I466" s="2" t="s">
        <v>16</v>
      </c>
    </row>
    <row r="467" spans="1:9" x14ac:dyDescent="0.45">
      <c r="A467">
        <f>MONTH(Budget3[[#This Row],[Date]])</f>
        <v>12</v>
      </c>
      <c r="B467" s="1">
        <v>46011</v>
      </c>
      <c r="C467" t="s">
        <v>311</v>
      </c>
      <c r="D467" t="s">
        <v>39</v>
      </c>
      <c r="F467" s="2">
        <v>6.9</v>
      </c>
      <c r="G467" s="2" t="e">
        <f>SUM(G466+Budget3[[#This Row],[Income]]-Budget3[[#This Row],[Credit]])</f>
        <v>#REF!</v>
      </c>
      <c r="H467" s="2" t="str">
        <f>TEXT(Budget3[[#This Row],[Date]], "mmm")</f>
        <v>Dec</v>
      </c>
      <c r="I467" s="2" t="s">
        <v>339</v>
      </c>
    </row>
    <row r="468" spans="1:9" x14ac:dyDescent="0.45">
      <c r="A468">
        <f>MONTH(Budget3[[#This Row],[Date]])</f>
        <v>12</v>
      </c>
      <c r="B468" s="1">
        <v>46011</v>
      </c>
      <c r="C468" t="s">
        <v>296</v>
      </c>
      <c r="D468" t="s">
        <v>39</v>
      </c>
      <c r="F468" s="2">
        <v>24.84</v>
      </c>
      <c r="G468" s="2" t="e">
        <f>SUM(G467+Budget3[[#This Row],[Income]]-Budget3[[#This Row],[Credit]])</f>
        <v>#REF!</v>
      </c>
      <c r="H468" s="2" t="str">
        <f>TEXT(Budget3[[#This Row],[Date]], "mmm")</f>
        <v>Dec</v>
      </c>
      <c r="I468" s="2" t="s">
        <v>339</v>
      </c>
    </row>
    <row r="469" spans="1:9" x14ac:dyDescent="0.45">
      <c r="A469">
        <f>MONTH(Budget3[[#This Row],[Date]])</f>
        <v>12</v>
      </c>
      <c r="B469" s="1">
        <v>46020</v>
      </c>
      <c r="C469" t="s">
        <v>67</v>
      </c>
      <c r="D469" t="s">
        <v>39</v>
      </c>
      <c r="F469" s="2">
        <v>14.45</v>
      </c>
      <c r="G469" s="2" t="e">
        <f>SUM(G468+Budget3[[#This Row],[Income]]-Budget3[[#This Row],[Credit]])</f>
        <v>#REF!</v>
      </c>
      <c r="H469" s="2" t="str">
        <f>TEXT(Budget3[[#This Row],[Date]], "mmm")</f>
        <v>Dec</v>
      </c>
      <c r="I469" s="2" t="s">
        <v>339</v>
      </c>
    </row>
    <row r="470" spans="1:9" x14ac:dyDescent="0.45">
      <c r="A470">
        <f>MONTH(Budget3[[#This Row],[Date]])</f>
        <v>12</v>
      </c>
      <c r="B470" s="1">
        <v>46022</v>
      </c>
      <c r="C470" t="s">
        <v>277</v>
      </c>
      <c r="D470" t="s">
        <v>130</v>
      </c>
      <c r="F470" s="2">
        <v>14.02</v>
      </c>
      <c r="G470" s="2" t="e">
        <f>SUM(G469+Budget3[[#This Row],[Income]]-Budget3[[#This Row],[Credit]])</f>
        <v>#REF!</v>
      </c>
      <c r="H470" s="2" t="str">
        <f>TEXT(Budget3[[#This Row],[Date]], "mmm")</f>
        <v>Dec</v>
      </c>
      <c r="I470" s="2" t="s">
        <v>312</v>
      </c>
    </row>
    <row r="471" spans="1:9" ht="14.65" thickBot="1" x14ac:dyDescent="0.5">
      <c r="A471">
        <f>MONTH(Budget3[[#This Row],[Date]])</f>
        <v>12</v>
      </c>
      <c r="B471" s="1">
        <v>46022</v>
      </c>
      <c r="C471" s="27" t="s">
        <v>32</v>
      </c>
      <c r="D471" s="27" t="s">
        <v>35</v>
      </c>
      <c r="E471" s="29"/>
      <c r="F471" s="30">
        <v>28.65</v>
      </c>
      <c r="G471" s="2" t="e">
        <f>SUM(G470+Budget3[[#This Row],[Income]]-Budget3[[#This Row],[Credit]])</f>
        <v>#REF!</v>
      </c>
      <c r="H471" s="2" t="str">
        <f>TEXT(Budget3[[#This Row],[Date]], "mmm")</f>
        <v>Dec</v>
      </c>
      <c r="I471" s="2" t="s">
        <v>9</v>
      </c>
    </row>
    <row r="472" spans="1:9" ht="14.65" thickTop="1" x14ac:dyDescent="0.45">
      <c r="A472">
        <f>MONTH(Budget3[[#This Row],[Date]])</f>
        <v>1</v>
      </c>
      <c r="G472" s="2" t="e">
        <f>SUM(G471+Budget3[[#This Row],[Income]]-Budget3[[#This Row],[Credit]])</f>
        <v>#REF!</v>
      </c>
      <c r="H472" s="2" t="str">
        <f>TEXT(Budget3[[#This Row],[Date]], "mmm")</f>
        <v>Jan</v>
      </c>
      <c r="I472" s="2" t="str">
        <f>IF(ISNUMBER(SEARCH("income", Budget3[[#This Row],[Category]])), "Income", "")</f>
        <v/>
      </c>
    </row>
    <row r="473" spans="1:9" x14ac:dyDescent="0.45">
      <c r="A473">
        <f>MONTH(Budget3[[#This Row],[Date]])</f>
        <v>1</v>
      </c>
      <c r="G473" s="2" t="e">
        <f>SUM(G472+Budget3[[#This Row],[Income]]-Budget3[[#This Row],[Credit]])</f>
        <v>#REF!</v>
      </c>
      <c r="H473" s="2" t="str">
        <f>TEXT(Budget3[[#This Row],[Date]], "mmm")</f>
        <v>Jan</v>
      </c>
      <c r="I473" s="2" t="str">
        <f>IF(ISNUMBER(SEARCH("income", Budget3[[#This Row],[Category]])), "Income", "")</f>
        <v/>
      </c>
    </row>
    <row r="474" spans="1:9" x14ac:dyDescent="0.45">
      <c r="A474">
        <f>MONTH(Budget3[[#This Row],[Date]])</f>
        <v>1</v>
      </c>
      <c r="G474" s="2" t="e">
        <f>SUM(G473+Budget3[[#This Row],[Income]]-Budget3[[#This Row],[Credit]])</f>
        <v>#REF!</v>
      </c>
      <c r="H474" s="2" t="str">
        <f>TEXT(Budget3[[#This Row],[Date]], "mmm")</f>
        <v>Jan</v>
      </c>
      <c r="I474" s="2" t="str">
        <f>IF(ISNUMBER(SEARCH("income", Budget3[[#This Row],[Category]])), "Income", "")</f>
        <v/>
      </c>
    </row>
    <row r="475" spans="1:9" x14ac:dyDescent="0.45">
      <c r="A475">
        <f>MONTH(Budget3[[#This Row],[Date]])</f>
        <v>1</v>
      </c>
      <c r="G475" s="2" t="e">
        <f>SUM(G474+Budget3[[#This Row],[Income]]-Budget3[[#This Row],[Credit]])</f>
        <v>#REF!</v>
      </c>
      <c r="H475" s="2" t="str">
        <f>TEXT(Budget3[[#This Row],[Date]], "mmm")</f>
        <v>Jan</v>
      </c>
      <c r="I475" s="2" t="str">
        <f>IF(ISNUMBER(SEARCH("income", Budget3[[#This Row],[Category]])), "Income", "")</f>
        <v/>
      </c>
    </row>
    <row r="476" spans="1:9" x14ac:dyDescent="0.45">
      <c r="A476">
        <f>MONTH(Budget3[[#This Row],[Date]])</f>
        <v>1</v>
      </c>
      <c r="G476" s="2" t="e">
        <f>SUM(G475+Budget3[[#This Row],[Income]]-Budget3[[#This Row],[Credit]])</f>
        <v>#REF!</v>
      </c>
      <c r="H476" s="2" t="str">
        <f>TEXT(Budget3[[#This Row],[Date]], "mmm")</f>
        <v>Jan</v>
      </c>
      <c r="I476" s="2" t="str">
        <f>IF(ISNUMBER(SEARCH("income", Budget3[[#This Row],[Category]])), "Income", "")</f>
        <v/>
      </c>
    </row>
    <row r="477" spans="1:9" x14ac:dyDescent="0.45">
      <c r="A477">
        <f>MONTH(Budget3[[#This Row],[Date]])</f>
        <v>1</v>
      </c>
      <c r="G477" s="2" t="e">
        <f>SUM(G476+Budget3[[#This Row],[Income]]-Budget3[[#This Row],[Credit]])</f>
        <v>#REF!</v>
      </c>
      <c r="H477" s="2" t="str">
        <f>TEXT(Budget3[[#This Row],[Date]], "mmm")</f>
        <v>Jan</v>
      </c>
      <c r="I477" s="2" t="str">
        <f>IF(ISNUMBER(SEARCH("income", Budget3[[#This Row],[Category]])), "Income", "")</f>
        <v/>
      </c>
    </row>
    <row r="478" spans="1:9" x14ac:dyDescent="0.45">
      <c r="A478">
        <f>MONTH(Budget3[[#This Row],[Date]])</f>
        <v>1</v>
      </c>
      <c r="G478" s="2" t="e">
        <f>SUM(G477+Budget3[[#This Row],[Income]]-Budget3[[#This Row],[Credit]])</f>
        <v>#REF!</v>
      </c>
      <c r="H478" s="2" t="str">
        <f>TEXT(Budget3[[#This Row],[Date]], "mmm")</f>
        <v>Jan</v>
      </c>
      <c r="I478" s="2" t="str">
        <f>IF(ISNUMBER(SEARCH("income", Budget3[[#This Row],[Category]])), "Income", "")</f>
        <v/>
      </c>
    </row>
    <row r="479" spans="1:9" x14ac:dyDescent="0.45">
      <c r="A479">
        <f>MONTH(Budget3[[#This Row],[Date]])</f>
        <v>1</v>
      </c>
      <c r="G479" s="2" t="e">
        <f>SUM(G478+Budget3[[#This Row],[Income]]-Budget3[[#This Row],[Credit]])</f>
        <v>#REF!</v>
      </c>
      <c r="H479" s="2" t="str">
        <f>TEXT(Budget3[[#This Row],[Date]], "mmm")</f>
        <v>Jan</v>
      </c>
      <c r="I479" s="2" t="str">
        <f>IF(ISNUMBER(SEARCH("income", Budget3[[#This Row],[Category]])), "Income", "")</f>
        <v/>
      </c>
    </row>
    <row r="480" spans="1:9" x14ac:dyDescent="0.45">
      <c r="A480">
        <f>MONTH(Budget3[[#This Row],[Date]])</f>
        <v>1</v>
      </c>
      <c r="G480" s="2" t="e">
        <f>SUM(G479+Budget3[[#This Row],[Income]]-Budget3[[#This Row],[Credit]])</f>
        <v>#REF!</v>
      </c>
      <c r="H480" s="2" t="str">
        <f>TEXT(Budget3[[#This Row],[Date]], "mmm")</f>
        <v>Jan</v>
      </c>
      <c r="I480" s="2" t="str">
        <f>IF(ISNUMBER(SEARCH("income", Budget3[[#This Row],[Category]])), "Income", "")</f>
        <v/>
      </c>
    </row>
    <row r="481" spans="1:9" x14ac:dyDescent="0.45">
      <c r="A481">
        <f>MONTH(Budget3[[#This Row],[Date]])</f>
        <v>1</v>
      </c>
      <c r="G481" s="2" t="e">
        <f>SUM(G480+Budget3[[#This Row],[Income]]-Budget3[[#This Row],[Credit]])</f>
        <v>#REF!</v>
      </c>
      <c r="H481" s="2" t="str">
        <f>TEXT(Budget3[[#This Row],[Date]], "mmm")</f>
        <v>Jan</v>
      </c>
      <c r="I481" s="2" t="str">
        <f>IF(ISNUMBER(SEARCH("income", Budget3[[#This Row],[Category]])), "Income", "")</f>
        <v/>
      </c>
    </row>
    <row r="482" spans="1:9" x14ac:dyDescent="0.45">
      <c r="A482">
        <f>MONTH(Budget3[[#This Row],[Date]])</f>
        <v>1</v>
      </c>
      <c r="G482" s="2" t="e">
        <f>SUM(G481+Budget3[[#This Row],[Income]]-Budget3[[#This Row],[Credit]])</f>
        <v>#REF!</v>
      </c>
      <c r="H482" s="2" t="str">
        <f>TEXT(Budget3[[#This Row],[Date]], "mmm")</f>
        <v>Jan</v>
      </c>
      <c r="I482" s="2" t="str">
        <f>IF(ISNUMBER(SEARCH("income", Budget3[[#This Row],[Category]])), "Income", "")</f>
        <v/>
      </c>
    </row>
    <row r="483" spans="1:9" x14ac:dyDescent="0.45">
      <c r="A483">
        <f>MONTH(Budget3[[#This Row],[Date]])</f>
        <v>1</v>
      </c>
      <c r="G483" s="2" t="e">
        <f>SUM(G482+Budget3[[#This Row],[Income]]-Budget3[[#This Row],[Credit]])</f>
        <v>#REF!</v>
      </c>
      <c r="H483" s="2" t="str">
        <f>TEXT(Budget3[[#This Row],[Date]], "mmm")</f>
        <v>Jan</v>
      </c>
      <c r="I483" s="2" t="str">
        <f>IF(ISNUMBER(SEARCH("income", Budget3[[#This Row],[Category]])), "Income", "")</f>
        <v/>
      </c>
    </row>
    <row r="484" spans="1:9" x14ac:dyDescent="0.45">
      <c r="A484">
        <f>MONTH(Budget3[[#This Row],[Date]])</f>
        <v>1</v>
      </c>
      <c r="G484" s="2" t="e">
        <f>SUM(G483+Budget3[[#This Row],[Income]]-Budget3[[#This Row],[Credit]])</f>
        <v>#REF!</v>
      </c>
      <c r="H484" s="2" t="str">
        <f>TEXT(Budget3[[#This Row],[Date]], "mmm")</f>
        <v>Jan</v>
      </c>
      <c r="I484" s="2" t="str">
        <f>IF(ISNUMBER(SEARCH("income", Budget3[[#This Row],[Category]])), "Income", "")</f>
        <v/>
      </c>
    </row>
    <row r="485" spans="1:9" x14ac:dyDescent="0.45">
      <c r="A485">
        <f>MONTH(Budget3[[#This Row],[Date]])</f>
        <v>1</v>
      </c>
      <c r="G485" s="2" t="e">
        <f>SUM(G484+Budget3[[#This Row],[Income]]-Budget3[[#This Row],[Credit]])</f>
        <v>#REF!</v>
      </c>
      <c r="H485" s="2" t="str">
        <f>TEXT(Budget3[[#This Row],[Date]], "mmm")</f>
        <v>Jan</v>
      </c>
      <c r="I485" s="2" t="str">
        <f>IF(ISNUMBER(SEARCH("income", Budget3[[#This Row],[Category]])), "Income", "")</f>
        <v/>
      </c>
    </row>
    <row r="486" spans="1:9" x14ac:dyDescent="0.45">
      <c r="A486">
        <f>MONTH(Budget3[[#This Row],[Date]])</f>
        <v>1</v>
      </c>
      <c r="G486" s="2" t="e">
        <f>SUM(G485+Budget3[[#This Row],[Income]]-Budget3[[#This Row],[Credit]])</f>
        <v>#REF!</v>
      </c>
      <c r="H486" s="2" t="str">
        <f>TEXT(Budget3[[#This Row],[Date]], "mmm")</f>
        <v>Jan</v>
      </c>
      <c r="I486" s="2" t="str">
        <f>IF(ISNUMBER(SEARCH("income", Budget3[[#This Row],[Category]])), "Income", "")</f>
        <v/>
      </c>
    </row>
    <row r="487" spans="1:9" x14ac:dyDescent="0.45">
      <c r="A487">
        <f>MONTH(Budget3[[#This Row],[Date]])</f>
        <v>1</v>
      </c>
      <c r="G487" s="2" t="e">
        <f>SUM(G486+Budget3[[#This Row],[Income]]-Budget3[[#This Row],[Credit]])</f>
        <v>#REF!</v>
      </c>
      <c r="H487" s="2" t="str">
        <f>TEXT(Budget3[[#This Row],[Date]], "mmm")</f>
        <v>Jan</v>
      </c>
      <c r="I487" s="2" t="str">
        <f>IF(ISNUMBER(SEARCH("income", Budget3[[#This Row],[Category]])), "Income", "")</f>
        <v/>
      </c>
    </row>
    <row r="488" spans="1:9" x14ac:dyDescent="0.45">
      <c r="A488">
        <f>MONTH(Budget3[[#This Row],[Date]])</f>
        <v>1</v>
      </c>
      <c r="G488" s="2" t="e">
        <f>SUM(G487+Budget3[[#This Row],[Income]]-Budget3[[#This Row],[Credit]])</f>
        <v>#REF!</v>
      </c>
      <c r="H488" s="2" t="str">
        <f>TEXT(Budget3[[#This Row],[Date]], "mmm")</f>
        <v>Jan</v>
      </c>
      <c r="I488" s="2" t="str">
        <f>IF(ISNUMBER(SEARCH("income", Budget3[[#This Row],[Category]])), "Income", "")</f>
        <v/>
      </c>
    </row>
    <row r="489" spans="1:9" x14ac:dyDescent="0.45">
      <c r="A489">
        <f>MONTH(Budget3[[#This Row],[Date]])</f>
        <v>1</v>
      </c>
      <c r="G489" s="2" t="e">
        <f>SUM(G488+Budget3[[#This Row],[Income]]-Budget3[[#This Row],[Credit]])</f>
        <v>#REF!</v>
      </c>
      <c r="H489" s="2" t="str">
        <f>TEXT(Budget3[[#This Row],[Date]], "mmm")</f>
        <v>Jan</v>
      </c>
      <c r="I489" s="2" t="str">
        <f>IF(ISNUMBER(SEARCH("income", Budget3[[#This Row],[Category]])), "Income", "")</f>
        <v/>
      </c>
    </row>
    <row r="490" spans="1:9" x14ac:dyDescent="0.45">
      <c r="A490">
        <f>MONTH(Budget3[[#This Row],[Date]])</f>
        <v>1</v>
      </c>
      <c r="G490" s="2" t="e">
        <f>SUM(G489+Budget3[[#This Row],[Income]]-Budget3[[#This Row],[Credit]])</f>
        <v>#REF!</v>
      </c>
      <c r="H490" s="2" t="str">
        <f>TEXT(Budget3[[#This Row],[Date]], "mmm")</f>
        <v>Jan</v>
      </c>
      <c r="I490" s="2" t="str">
        <f>IF(ISNUMBER(SEARCH("income", Budget3[[#This Row],[Category]])), "Income", "")</f>
        <v/>
      </c>
    </row>
    <row r="491" spans="1:9" x14ac:dyDescent="0.45">
      <c r="A491">
        <f>MONTH(Budget3[[#This Row],[Date]])</f>
        <v>1</v>
      </c>
      <c r="G491" s="2" t="e">
        <f>SUM(G490+Budget3[[#This Row],[Income]]-Budget3[[#This Row],[Credit]])</f>
        <v>#REF!</v>
      </c>
      <c r="H491" s="2" t="str">
        <f>TEXT(Budget3[[#This Row],[Date]], "mmm")</f>
        <v>Jan</v>
      </c>
      <c r="I491" s="2" t="str">
        <f>IF(ISNUMBER(SEARCH("income", Budget3[[#This Row],[Category]])), "Income", "")</f>
        <v/>
      </c>
    </row>
    <row r="492" spans="1:9" x14ac:dyDescent="0.45">
      <c r="A492">
        <f>MONTH(Budget3[[#This Row],[Date]])</f>
        <v>1</v>
      </c>
      <c r="G492" s="2" t="e">
        <f>SUM(G491+Budget3[[#This Row],[Income]]-Budget3[[#This Row],[Credit]])</f>
        <v>#REF!</v>
      </c>
      <c r="H492" s="2" t="str">
        <f>TEXT(Budget3[[#This Row],[Date]], "mmm")</f>
        <v>Jan</v>
      </c>
      <c r="I492" s="2" t="str">
        <f>IF(ISNUMBER(SEARCH("income", Budget3[[#This Row],[Category]])), "Income", "")</f>
        <v/>
      </c>
    </row>
    <row r="493" spans="1:9" x14ac:dyDescent="0.45">
      <c r="A493">
        <f>MONTH(Budget3[[#This Row],[Date]])</f>
        <v>1</v>
      </c>
      <c r="G493" s="2" t="e">
        <f>SUM(G492+Budget3[[#This Row],[Income]]-Budget3[[#This Row],[Credit]])</f>
        <v>#REF!</v>
      </c>
      <c r="H493" s="2" t="str">
        <f>TEXT(Budget3[[#This Row],[Date]], "mmm")</f>
        <v>Jan</v>
      </c>
      <c r="I493" s="2" t="str">
        <f>IF(ISNUMBER(SEARCH("income", Budget3[[#This Row],[Category]])), "Income", "")</f>
        <v/>
      </c>
    </row>
    <row r="494" spans="1:9" x14ac:dyDescent="0.45">
      <c r="A494">
        <f>MONTH(Budget3[[#This Row],[Date]])</f>
        <v>1</v>
      </c>
      <c r="G494" s="2" t="e">
        <f>SUM(G493+Budget3[[#This Row],[Income]]-Budget3[[#This Row],[Credit]])</f>
        <v>#REF!</v>
      </c>
      <c r="H494" s="2" t="str">
        <f>TEXT(Budget3[[#This Row],[Date]], "mmm")</f>
        <v>Jan</v>
      </c>
      <c r="I494" s="2" t="str">
        <f>IF(ISNUMBER(SEARCH("income", Budget3[[#This Row],[Category]])), "Income", "")</f>
        <v/>
      </c>
    </row>
    <row r="495" spans="1:9" x14ac:dyDescent="0.45">
      <c r="A495">
        <f>MONTH(Budget3[[#This Row],[Date]])</f>
        <v>1</v>
      </c>
      <c r="G495" s="2" t="e">
        <f>SUM(G494+Budget3[[#This Row],[Income]]-Budget3[[#This Row],[Credit]])</f>
        <v>#REF!</v>
      </c>
      <c r="H495" s="2" t="str">
        <f>TEXT(Budget3[[#This Row],[Date]], "mmm")</f>
        <v>Jan</v>
      </c>
      <c r="I495" s="2" t="str">
        <f>IF(ISNUMBER(SEARCH("income", Budget3[[#This Row],[Category]])), "Income", "")</f>
        <v/>
      </c>
    </row>
    <row r="496" spans="1:9" x14ac:dyDescent="0.45">
      <c r="A496">
        <f>MONTH(Budget3[[#This Row],[Date]])</f>
        <v>1</v>
      </c>
      <c r="G496" s="2" t="e">
        <f>SUM(G495+Budget3[[#This Row],[Income]]-Budget3[[#This Row],[Credit]])</f>
        <v>#REF!</v>
      </c>
      <c r="H496" s="2" t="str">
        <f>TEXT(Budget3[[#This Row],[Date]], "mmm")</f>
        <v>Jan</v>
      </c>
      <c r="I496" s="2" t="str">
        <f>IF(ISNUMBER(SEARCH("income", Budget3[[#This Row],[Category]])), "Income", "")</f>
        <v/>
      </c>
    </row>
    <row r="497" spans="1:9" x14ac:dyDescent="0.45">
      <c r="A497">
        <f>MONTH(Budget3[[#This Row],[Date]])</f>
        <v>1</v>
      </c>
      <c r="G497" s="2" t="e">
        <f>SUM(G496+Budget3[[#This Row],[Income]]-Budget3[[#This Row],[Credit]])</f>
        <v>#REF!</v>
      </c>
      <c r="H497" s="2" t="str">
        <f>TEXT(Budget3[[#This Row],[Date]], "mmm")</f>
        <v>Jan</v>
      </c>
      <c r="I497" s="2" t="str">
        <f>IF(ISNUMBER(SEARCH("income", Budget3[[#This Row],[Category]])), "Income", "")</f>
        <v/>
      </c>
    </row>
    <row r="498" spans="1:9" x14ac:dyDescent="0.45">
      <c r="A498">
        <f>MONTH(Budget3[[#This Row],[Date]])</f>
        <v>1</v>
      </c>
      <c r="G498" s="2" t="e">
        <f>SUM(G497+Budget3[[#This Row],[Income]]-Budget3[[#This Row],[Credit]])</f>
        <v>#REF!</v>
      </c>
      <c r="H498" s="2" t="str">
        <f>TEXT(Budget3[[#This Row],[Date]], "mmm")</f>
        <v>Jan</v>
      </c>
      <c r="I498" s="2" t="str">
        <f>IF(ISNUMBER(SEARCH("income", Budget3[[#This Row],[Category]])), "Income", "")</f>
        <v/>
      </c>
    </row>
    <row r="499" spans="1:9" x14ac:dyDescent="0.45">
      <c r="A499">
        <f>MONTH(Budget3[[#This Row],[Date]])</f>
        <v>1</v>
      </c>
      <c r="G499" s="2" t="e">
        <f>SUM(G498+Budget3[[#This Row],[Income]]-Budget3[[#This Row],[Credit]])</f>
        <v>#REF!</v>
      </c>
      <c r="H499" s="2" t="str">
        <f>TEXT(Budget3[[#This Row],[Date]], "mmm")</f>
        <v>Jan</v>
      </c>
      <c r="I499" s="2" t="str">
        <f>IF(ISNUMBER(SEARCH("income", Budget3[[#This Row],[Category]])), "Income", "")</f>
        <v/>
      </c>
    </row>
    <row r="500" spans="1:9" x14ac:dyDescent="0.45">
      <c r="A500">
        <f>MONTH(Budget3[[#This Row],[Date]])</f>
        <v>1</v>
      </c>
      <c r="G500" s="2" t="e">
        <f>SUM(G499+Budget3[[#This Row],[Income]]-Budget3[[#This Row],[Credit]])</f>
        <v>#REF!</v>
      </c>
      <c r="H500" s="2" t="str">
        <f>TEXT(Budget3[[#This Row],[Date]], "mmm")</f>
        <v>Jan</v>
      </c>
      <c r="I500" s="2" t="str">
        <f>IF(ISNUMBER(SEARCH("income", Budget3[[#This Row],[Category]])), "Income", "")</f>
        <v/>
      </c>
    </row>
    <row r="501" spans="1:9" x14ac:dyDescent="0.45">
      <c r="A501">
        <f>MONTH(Budget3[[#This Row],[Date]])</f>
        <v>1</v>
      </c>
      <c r="G501" s="2" t="e">
        <f>SUM(G500+Budget3[[#This Row],[Income]]-Budget3[[#This Row],[Credit]])</f>
        <v>#REF!</v>
      </c>
      <c r="H501" s="2" t="str">
        <f>TEXT(Budget3[[#This Row],[Date]], "mmm")</f>
        <v>Jan</v>
      </c>
      <c r="I501" s="2" t="str">
        <f>IF(ISNUMBER(SEARCH("income", Budget3[[#This Row],[Category]])), "Income", "")</f>
        <v/>
      </c>
    </row>
    <row r="502" spans="1:9" x14ac:dyDescent="0.45">
      <c r="A502">
        <f>MONTH(Budget3[[#This Row],[Date]])</f>
        <v>1</v>
      </c>
      <c r="G502" s="2" t="e">
        <f>SUM(G501+Budget3[[#This Row],[Income]]-Budget3[[#This Row],[Credit]])</f>
        <v>#REF!</v>
      </c>
      <c r="H502" s="2" t="str">
        <f>TEXT(Budget3[[#This Row],[Date]], "mmm")</f>
        <v>Jan</v>
      </c>
      <c r="I502" s="2" t="str">
        <f>IF(ISNUMBER(SEARCH("income", Budget3[[#This Row],[Category]])), "Income", "")</f>
        <v/>
      </c>
    </row>
    <row r="503" spans="1:9" x14ac:dyDescent="0.45">
      <c r="A503">
        <f>MONTH(Budget3[[#This Row],[Date]])</f>
        <v>1</v>
      </c>
      <c r="G503" s="2" t="e">
        <f>SUM(G502+Budget3[[#This Row],[Income]]-Budget3[[#This Row],[Credit]])</f>
        <v>#REF!</v>
      </c>
      <c r="H503" s="2" t="str">
        <f>TEXT(Budget3[[#This Row],[Date]], "mmm")</f>
        <v>Jan</v>
      </c>
      <c r="I503" s="2" t="str">
        <f>IF(ISNUMBER(SEARCH("income", Budget3[[#This Row],[Category]])), "Income", "")</f>
        <v/>
      </c>
    </row>
    <row r="504" spans="1:9" x14ac:dyDescent="0.45">
      <c r="A504">
        <f>MONTH(Budget3[[#This Row],[Date]])</f>
        <v>1</v>
      </c>
      <c r="G504" s="2" t="e">
        <f>SUM(G503+Budget3[[#This Row],[Income]]-Budget3[[#This Row],[Credit]])</f>
        <v>#REF!</v>
      </c>
      <c r="H504" s="2" t="str">
        <f>TEXT(Budget3[[#This Row],[Date]], "mmm")</f>
        <v>Jan</v>
      </c>
      <c r="I504" s="2" t="str">
        <f>IF(ISNUMBER(SEARCH("income", Budget3[[#This Row],[Category]])), "Income", "")</f>
        <v/>
      </c>
    </row>
    <row r="505" spans="1:9" x14ac:dyDescent="0.45">
      <c r="A505">
        <f>MONTH(Budget3[[#This Row],[Date]])</f>
        <v>1</v>
      </c>
      <c r="G505" s="2" t="e">
        <f>SUM(G504+Budget3[[#This Row],[Income]]-Budget3[[#This Row],[Credit]])</f>
        <v>#REF!</v>
      </c>
      <c r="H505" s="2" t="str">
        <f>TEXT(Budget3[[#This Row],[Date]], "mmm")</f>
        <v>Jan</v>
      </c>
      <c r="I505" s="2" t="str">
        <f>IF(ISNUMBER(SEARCH("income", Budget3[[#This Row],[Category]])), "Income", "")</f>
        <v/>
      </c>
    </row>
    <row r="506" spans="1:9" x14ac:dyDescent="0.45">
      <c r="A506">
        <f>MONTH(Budget3[[#This Row],[Date]])</f>
        <v>1</v>
      </c>
      <c r="G506" s="2" t="e">
        <f>SUM(G505+Budget3[[#This Row],[Income]]-Budget3[[#This Row],[Credit]])</f>
        <v>#REF!</v>
      </c>
      <c r="H506" s="2" t="str">
        <f>TEXT(Budget3[[#This Row],[Date]], "mmm")</f>
        <v>Jan</v>
      </c>
      <c r="I506" s="2" t="str">
        <f>IF(ISNUMBER(SEARCH("income", Budget3[[#This Row],[Category]])), "Income", "")</f>
        <v/>
      </c>
    </row>
    <row r="507" spans="1:9" x14ac:dyDescent="0.45">
      <c r="A507">
        <f>MONTH(Budget3[[#This Row],[Date]])</f>
        <v>1</v>
      </c>
      <c r="G507" s="2" t="e">
        <f>SUM(G506+Budget3[[#This Row],[Income]]-Budget3[[#This Row],[Credit]])</f>
        <v>#REF!</v>
      </c>
      <c r="H507" s="2" t="str">
        <f>TEXT(Budget3[[#This Row],[Date]], "mmm")</f>
        <v>Jan</v>
      </c>
      <c r="I507" s="2" t="str">
        <f>IF(ISNUMBER(SEARCH("income", Budget3[[#This Row],[Category]])), "Income", "")</f>
        <v/>
      </c>
    </row>
    <row r="508" spans="1:9" x14ac:dyDescent="0.45">
      <c r="A508">
        <f>MONTH(Budget3[[#This Row],[Date]])</f>
        <v>1</v>
      </c>
      <c r="G508" s="2" t="e">
        <f>SUM(G507+Budget3[[#This Row],[Income]]-Budget3[[#This Row],[Credit]])</f>
        <v>#REF!</v>
      </c>
      <c r="H508" s="2" t="str">
        <f>TEXT(Budget3[[#This Row],[Date]], "mmm")</f>
        <v>Jan</v>
      </c>
      <c r="I508" s="2" t="str">
        <f>IF(ISNUMBER(SEARCH("income", Budget3[[#This Row],[Category]])), "Income", "")</f>
        <v/>
      </c>
    </row>
    <row r="509" spans="1:9" x14ac:dyDescent="0.45">
      <c r="A509">
        <f>MONTH(Budget3[[#This Row],[Date]])</f>
        <v>1</v>
      </c>
      <c r="G509" s="2" t="e">
        <f>SUM(G508+Budget3[[#This Row],[Income]]-Budget3[[#This Row],[Credit]])</f>
        <v>#REF!</v>
      </c>
      <c r="H509" s="2" t="str">
        <f>TEXT(Budget3[[#This Row],[Date]], "mmm")</f>
        <v>Jan</v>
      </c>
      <c r="I509" s="2" t="str">
        <f>IF(ISNUMBER(SEARCH("income", Budget3[[#This Row],[Category]])), "Income", "")</f>
        <v/>
      </c>
    </row>
    <row r="510" spans="1:9" x14ac:dyDescent="0.45">
      <c r="A510">
        <f>MONTH(Budget3[[#This Row],[Date]])</f>
        <v>1</v>
      </c>
      <c r="G510" s="2" t="e">
        <f>SUM(G509+Budget3[[#This Row],[Income]]-Budget3[[#This Row],[Credit]])</f>
        <v>#REF!</v>
      </c>
      <c r="H510" s="2" t="str">
        <f>TEXT(Budget3[[#This Row],[Date]], "mmm")</f>
        <v>Jan</v>
      </c>
      <c r="I510" s="2" t="str">
        <f>IF(ISNUMBER(SEARCH("income", Budget3[[#This Row],[Category]])), "Income", "")</f>
        <v/>
      </c>
    </row>
    <row r="511" spans="1:9" x14ac:dyDescent="0.45">
      <c r="A511">
        <f>MONTH(Budget3[[#This Row],[Date]])</f>
        <v>1</v>
      </c>
      <c r="G511" s="2" t="e">
        <f>SUM(G510+Budget3[[#This Row],[Income]]-Budget3[[#This Row],[Credit]])</f>
        <v>#REF!</v>
      </c>
      <c r="H511" s="2" t="str">
        <f>TEXT(Budget3[[#This Row],[Date]], "mmm")</f>
        <v>Jan</v>
      </c>
      <c r="I511" s="2" t="str">
        <f>IF(ISNUMBER(SEARCH("income", Budget3[[#This Row],[Category]])), "Income", "")</f>
        <v/>
      </c>
    </row>
    <row r="512" spans="1:9" x14ac:dyDescent="0.45">
      <c r="A512">
        <f>MONTH(Budget3[[#This Row],[Date]])</f>
        <v>1</v>
      </c>
      <c r="G512" s="2" t="e">
        <f>SUM(G511+Budget3[[#This Row],[Income]]-Budget3[[#This Row],[Credit]])</f>
        <v>#REF!</v>
      </c>
      <c r="H512" s="2" t="str">
        <f>TEXT(Budget3[[#This Row],[Date]], "mmm")</f>
        <v>Jan</v>
      </c>
      <c r="I512" s="2" t="str">
        <f>IF(ISNUMBER(SEARCH("income", Budget3[[#This Row],[Category]])), "Income", "")</f>
        <v/>
      </c>
    </row>
    <row r="513" spans="1:9" x14ac:dyDescent="0.45">
      <c r="A513">
        <f>MONTH(Budget3[[#This Row],[Date]])</f>
        <v>1</v>
      </c>
      <c r="G513" s="2" t="e">
        <f>SUM(G512+Budget3[[#This Row],[Income]]-Budget3[[#This Row],[Credit]])</f>
        <v>#REF!</v>
      </c>
      <c r="H513" s="2" t="str">
        <f>TEXT(Budget3[[#This Row],[Date]], "mmm")</f>
        <v>Jan</v>
      </c>
      <c r="I513" s="2" t="str">
        <f>IF(ISNUMBER(SEARCH("income", Budget3[[#This Row],[Category]])), "Income", "")</f>
        <v/>
      </c>
    </row>
    <row r="514" spans="1:9" x14ac:dyDescent="0.45">
      <c r="A514">
        <f>MONTH(Budget3[[#This Row],[Date]])</f>
        <v>1</v>
      </c>
      <c r="G514" s="2" t="e">
        <f>SUM(G513+Budget3[[#This Row],[Income]]-Budget3[[#This Row],[Credit]])</f>
        <v>#REF!</v>
      </c>
      <c r="H514" s="2" t="str">
        <f>TEXT(Budget3[[#This Row],[Date]], "mmm")</f>
        <v>Jan</v>
      </c>
      <c r="I514" s="2" t="str">
        <f>IF(ISNUMBER(SEARCH("income", Budget3[[#This Row],[Category]])), "Income", "")</f>
        <v/>
      </c>
    </row>
    <row r="515" spans="1:9" x14ac:dyDescent="0.45">
      <c r="A515">
        <f>MONTH(Budget3[[#This Row],[Date]])</f>
        <v>1</v>
      </c>
      <c r="G515" s="2" t="e">
        <f>SUM(G514+Budget3[[#This Row],[Income]]-Budget3[[#This Row],[Credit]])</f>
        <v>#REF!</v>
      </c>
      <c r="H515" s="2" t="str">
        <f>TEXT(Budget3[[#This Row],[Date]], "mmm")</f>
        <v>Jan</v>
      </c>
      <c r="I515" s="2" t="str">
        <f>IF(ISNUMBER(SEARCH("income", Budget3[[#This Row],[Category]])), "Income", "")</f>
        <v/>
      </c>
    </row>
    <row r="516" spans="1:9" x14ac:dyDescent="0.45">
      <c r="A516">
        <f>MONTH(Budget3[[#This Row],[Date]])</f>
        <v>1</v>
      </c>
      <c r="G516" s="2" t="e">
        <f>SUM(G515+Budget3[[#This Row],[Income]]-Budget3[[#This Row],[Credit]])</f>
        <v>#REF!</v>
      </c>
      <c r="H516" s="2" t="str">
        <f>TEXT(Budget3[[#This Row],[Date]], "mmm")</f>
        <v>Jan</v>
      </c>
      <c r="I516" s="2" t="str">
        <f>IF(ISNUMBER(SEARCH("income", Budget3[[#This Row],[Category]])), "Income", "")</f>
        <v/>
      </c>
    </row>
    <row r="517" spans="1:9" x14ac:dyDescent="0.45">
      <c r="A517">
        <f>MONTH(Budget3[[#This Row],[Date]])</f>
        <v>1</v>
      </c>
      <c r="G517" s="2" t="e">
        <f>SUM(G516+Budget3[[#This Row],[Income]]-Budget3[[#This Row],[Credit]])</f>
        <v>#REF!</v>
      </c>
      <c r="H517" s="2" t="str">
        <f>TEXT(Budget3[[#This Row],[Date]], "mmm")</f>
        <v>Jan</v>
      </c>
      <c r="I517" s="2" t="str">
        <f>IF(ISNUMBER(SEARCH("income", Budget3[[#This Row],[Category]])), "Income", "")</f>
        <v/>
      </c>
    </row>
    <row r="518" spans="1:9" x14ac:dyDescent="0.45">
      <c r="A518">
        <f>MONTH(Budget3[[#This Row],[Date]])</f>
        <v>1</v>
      </c>
      <c r="G518" s="2" t="e">
        <f>SUM(G517+Budget3[[#This Row],[Income]]-Budget3[[#This Row],[Credit]])</f>
        <v>#REF!</v>
      </c>
      <c r="H518" s="2" t="str">
        <f>TEXT(Budget3[[#This Row],[Date]], "mmm")</f>
        <v>Jan</v>
      </c>
      <c r="I518" s="2" t="str">
        <f>IF(ISNUMBER(SEARCH("income", Budget3[[#This Row],[Category]])), "Income", "")</f>
        <v/>
      </c>
    </row>
    <row r="519" spans="1:9" x14ac:dyDescent="0.45">
      <c r="A519">
        <f>MONTH(Budget3[[#This Row],[Date]])</f>
        <v>1</v>
      </c>
      <c r="G519" s="2" t="e">
        <f>SUM(G518+Budget3[[#This Row],[Income]]-Budget3[[#This Row],[Credit]])</f>
        <v>#REF!</v>
      </c>
      <c r="H519" s="2" t="str">
        <f>TEXT(Budget3[[#This Row],[Date]], "mmm")</f>
        <v>Jan</v>
      </c>
      <c r="I519" s="2" t="str">
        <f>IF(ISNUMBER(SEARCH("income", Budget3[[#This Row],[Category]])), "Income", "")</f>
        <v/>
      </c>
    </row>
    <row r="520" spans="1:9" x14ac:dyDescent="0.45">
      <c r="A520">
        <f>MONTH(Budget3[[#This Row],[Date]])</f>
        <v>1</v>
      </c>
      <c r="G520" s="2" t="e">
        <f>SUM(G519+Budget3[[#This Row],[Income]]-Budget3[[#This Row],[Credit]])</f>
        <v>#REF!</v>
      </c>
      <c r="H520" s="2" t="str">
        <f>TEXT(Budget3[[#This Row],[Date]], "mmm")</f>
        <v>Jan</v>
      </c>
      <c r="I520" s="2" t="str">
        <f>IF(ISNUMBER(SEARCH("income", Budget3[[#This Row],[Category]])), "Income", "")</f>
        <v/>
      </c>
    </row>
    <row r="521" spans="1:9" x14ac:dyDescent="0.45">
      <c r="A521">
        <f>MONTH(Budget3[[#This Row],[Date]])</f>
        <v>1</v>
      </c>
      <c r="G521" s="2" t="e">
        <f>SUM(G520+Budget3[[#This Row],[Income]]-Budget3[[#This Row],[Credit]])</f>
        <v>#REF!</v>
      </c>
      <c r="H521" s="2" t="str">
        <f>TEXT(Budget3[[#This Row],[Date]], "mmm")</f>
        <v>Jan</v>
      </c>
      <c r="I521" s="2" t="str">
        <f>IF(ISNUMBER(SEARCH("income", Budget3[[#This Row],[Category]])), "Income", "")</f>
        <v/>
      </c>
    </row>
    <row r="522" spans="1:9" x14ac:dyDescent="0.45">
      <c r="A522">
        <f>MONTH(Budget3[[#This Row],[Date]])</f>
        <v>1</v>
      </c>
      <c r="G522" s="2" t="e">
        <f>SUM(G521+Budget3[[#This Row],[Income]]-Budget3[[#This Row],[Credit]])</f>
        <v>#REF!</v>
      </c>
      <c r="H522" s="2" t="str">
        <f>TEXT(Budget3[[#This Row],[Date]], "mmm")</f>
        <v>Jan</v>
      </c>
      <c r="I522" s="2" t="str">
        <f>IF(ISNUMBER(SEARCH("income", Budget3[[#This Row],[Category]])), "Income", "")</f>
        <v/>
      </c>
    </row>
    <row r="523" spans="1:9" x14ac:dyDescent="0.45">
      <c r="A523">
        <f>MONTH(Budget3[[#This Row],[Date]])</f>
        <v>1</v>
      </c>
      <c r="G523" s="2" t="e">
        <f>SUM(G522+Budget3[[#This Row],[Income]]-Budget3[[#This Row],[Credit]])</f>
        <v>#REF!</v>
      </c>
      <c r="H523" s="2" t="str">
        <f>TEXT(Budget3[[#This Row],[Date]], "mmm")</f>
        <v>Jan</v>
      </c>
      <c r="I523" s="2" t="str">
        <f>IF(ISNUMBER(SEARCH("income", Budget3[[#This Row],[Category]])), "Income", "")</f>
        <v/>
      </c>
    </row>
    <row r="524" spans="1:9" x14ac:dyDescent="0.45">
      <c r="A524">
        <f>MONTH(Budget3[[#This Row],[Date]])</f>
        <v>1</v>
      </c>
      <c r="G524" s="2" t="e">
        <f>SUM(G523+Budget3[[#This Row],[Income]]-Budget3[[#This Row],[Credit]])</f>
        <v>#REF!</v>
      </c>
      <c r="H524" s="2" t="str">
        <f>TEXT(Budget3[[#This Row],[Date]], "mmm")</f>
        <v>Jan</v>
      </c>
      <c r="I524" s="2" t="str">
        <f>IF(ISNUMBER(SEARCH("income", Budget3[[#This Row],[Category]])), "Income", "")</f>
        <v/>
      </c>
    </row>
    <row r="525" spans="1:9" x14ac:dyDescent="0.45">
      <c r="A525">
        <f>MONTH(Budget3[[#This Row],[Date]])</f>
        <v>1</v>
      </c>
      <c r="G525" s="2" t="e">
        <f>SUM(G524+Budget3[[#This Row],[Income]]-Budget3[[#This Row],[Credit]])</f>
        <v>#REF!</v>
      </c>
      <c r="H525" s="2" t="str">
        <f>TEXT(Budget3[[#This Row],[Date]], "mmm")</f>
        <v>Jan</v>
      </c>
      <c r="I525" s="2" t="str">
        <f>IF(ISNUMBER(SEARCH("income", Budget3[[#This Row],[Category]])), "Income", "")</f>
        <v/>
      </c>
    </row>
    <row r="526" spans="1:9" x14ac:dyDescent="0.45">
      <c r="A526">
        <f>MONTH(Budget3[[#This Row],[Date]])</f>
        <v>1</v>
      </c>
      <c r="G526" s="2" t="e">
        <f>SUM(G525+Budget3[[#This Row],[Income]]-Budget3[[#This Row],[Credit]])</f>
        <v>#REF!</v>
      </c>
      <c r="H526" s="2" t="str">
        <f>TEXT(Budget3[[#This Row],[Date]], "mmm")</f>
        <v>Jan</v>
      </c>
      <c r="I526" s="2" t="str">
        <f>IF(ISNUMBER(SEARCH("income", Budget3[[#This Row],[Category]])), "Income", "")</f>
        <v/>
      </c>
    </row>
    <row r="527" spans="1:9" x14ac:dyDescent="0.45">
      <c r="A527">
        <f>MONTH(Budget3[[#This Row],[Date]])</f>
        <v>1</v>
      </c>
      <c r="G527" s="2" t="e">
        <f>SUM(G526+Budget3[[#This Row],[Income]]-Budget3[[#This Row],[Credit]])</f>
        <v>#REF!</v>
      </c>
      <c r="H527" s="2" t="str">
        <f>TEXT(Budget3[[#This Row],[Date]], "mmm")</f>
        <v>Jan</v>
      </c>
      <c r="I527" s="2" t="str">
        <f>IF(ISNUMBER(SEARCH("income", Budget3[[#This Row],[Category]])), "Income", "")</f>
        <v/>
      </c>
    </row>
    <row r="528" spans="1:9" x14ac:dyDescent="0.45">
      <c r="A528">
        <f>MONTH(Budget3[[#This Row],[Date]])</f>
        <v>1</v>
      </c>
      <c r="G528" s="2" t="e">
        <f>SUM(G527+Budget3[[#This Row],[Income]]-Budget3[[#This Row],[Credit]])</f>
        <v>#REF!</v>
      </c>
      <c r="H528" s="2" t="str">
        <f>TEXT(Budget3[[#This Row],[Date]], "mmm")</f>
        <v>Jan</v>
      </c>
      <c r="I528" s="2" t="str">
        <f>IF(ISNUMBER(SEARCH("income", Budget3[[#This Row],[Category]])), "Income", "")</f>
        <v/>
      </c>
    </row>
    <row r="529" spans="1:9" x14ac:dyDescent="0.45">
      <c r="A529">
        <f>MONTH(Budget3[[#This Row],[Date]])</f>
        <v>1</v>
      </c>
      <c r="G529" s="2" t="e">
        <f>SUM(G528+Budget3[[#This Row],[Income]]-Budget3[[#This Row],[Credit]])</f>
        <v>#REF!</v>
      </c>
      <c r="H529" s="2" t="str">
        <f>TEXT(Budget3[[#This Row],[Date]], "mmm")</f>
        <v>Jan</v>
      </c>
      <c r="I529" s="2" t="str">
        <f>IF(ISNUMBER(SEARCH("income", Budget3[[#This Row],[Category]])), "Income", "")</f>
        <v/>
      </c>
    </row>
    <row r="530" spans="1:9" x14ac:dyDescent="0.45">
      <c r="A530">
        <f>MONTH(Budget3[[#This Row],[Date]])</f>
        <v>1</v>
      </c>
      <c r="G530" s="2" t="e">
        <f>SUM(G529+Budget3[[#This Row],[Income]]-Budget3[[#This Row],[Credit]])</f>
        <v>#REF!</v>
      </c>
      <c r="H530" s="2" t="str">
        <f>TEXT(Budget3[[#This Row],[Date]], "mmm")</f>
        <v>Jan</v>
      </c>
      <c r="I530" s="2" t="str">
        <f>IF(ISNUMBER(SEARCH("income", Budget3[[#This Row],[Category]])), "Income", "")</f>
        <v/>
      </c>
    </row>
    <row r="531" spans="1:9" x14ac:dyDescent="0.45">
      <c r="A531">
        <f>MONTH(Budget3[[#This Row],[Date]])</f>
        <v>1</v>
      </c>
      <c r="G531" s="2" t="e">
        <f>SUM(G530+Budget3[[#This Row],[Income]]-Budget3[[#This Row],[Credit]])</f>
        <v>#REF!</v>
      </c>
      <c r="H531" s="2" t="str">
        <f>TEXT(Budget3[[#This Row],[Date]], "mmm")</f>
        <v>Jan</v>
      </c>
      <c r="I531" s="2" t="str">
        <f>IF(ISNUMBER(SEARCH("income", Budget3[[#This Row],[Category]])), "Income", "")</f>
        <v/>
      </c>
    </row>
    <row r="532" spans="1:9" x14ac:dyDescent="0.45">
      <c r="A532">
        <f>MONTH(Budget3[[#This Row],[Date]])</f>
        <v>1</v>
      </c>
      <c r="G532" s="2" t="e">
        <f>SUM(G531+Budget3[[#This Row],[Income]]-Budget3[[#This Row],[Credit]])</f>
        <v>#REF!</v>
      </c>
      <c r="H532" s="2" t="str">
        <f>TEXT(Budget3[[#This Row],[Date]], "mmm")</f>
        <v>Jan</v>
      </c>
      <c r="I532" s="2" t="str">
        <f>IF(ISNUMBER(SEARCH("income", Budget3[[#This Row],[Category]])), "Income", "")</f>
        <v/>
      </c>
    </row>
    <row r="533" spans="1:9" x14ac:dyDescent="0.45">
      <c r="A533">
        <f>MONTH(Budget3[[#This Row],[Date]])</f>
        <v>1</v>
      </c>
      <c r="G533" s="2" t="e">
        <f>SUM(G532+Budget3[[#This Row],[Income]]-Budget3[[#This Row],[Credit]])</f>
        <v>#REF!</v>
      </c>
      <c r="H533" s="2" t="str">
        <f>TEXT(Budget3[[#This Row],[Date]], "mmm")</f>
        <v>Jan</v>
      </c>
      <c r="I533" s="2" t="str">
        <f>IF(ISNUMBER(SEARCH("income", Budget3[[#This Row],[Category]])), "Income", "")</f>
        <v/>
      </c>
    </row>
    <row r="534" spans="1:9" x14ac:dyDescent="0.45">
      <c r="A534">
        <f>MONTH(Budget3[[#This Row],[Date]])</f>
        <v>1</v>
      </c>
      <c r="G534" s="2" t="e">
        <f>SUM(G533+Budget3[[#This Row],[Income]]-Budget3[[#This Row],[Credit]])</f>
        <v>#REF!</v>
      </c>
      <c r="H534" s="2" t="str">
        <f>TEXT(Budget3[[#This Row],[Date]], "mmm")</f>
        <v>Jan</v>
      </c>
      <c r="I534" s="2" t="str">
        <f>IF(ISNUMBER(SEARCH("income", Budget3[[#This Row],[Category]])), "Income", "")</f>
        <v/>
      </c>
    </row>
    <row r="535" spans="1:9" x14ac:dyDescent="0.45">
      <c r="A535">
        <f>MONTH(Budget3[[#This Row],[Date]])</f>
        <v>1</v>
      </c>
      <c r="G535" s="2" t="e">
        <f>SUM(G534+Budget3[[#This Row],[Income]]-Budget3[[#This Row],[Credit]])</f>
        <v>#REF!</v>
      </c>
      <c r="H535" s="2" t="str">
        <f>TEXT(Budget3[[#This Row],[Date]], "mmm")</f>
        <v>Jan</v>
      </c>
      <c r="I535" s="2" t="str">
        <f>IF(ISNUMBER(SEARCH("income", Budget3[[#This Row],[Category]])), "Income", "")</f>
        <v/>
      </c>
    </row>
    <row r="536" spans="1:9" x14ac:dyDescent="0.45">
      <c r="A536">
        <f>MONTH(Budget3[[#This Row],[Date]])</f>
        <v>1</v>
      </c>
      <c r="G536" s="2" t="e">
        <f>SUM(G535+Budget3[[#This Row],[Income]]-Budget3[[#This Row],[Credit]])</f>
        <v>#REF!</v>
      </c>
      <c r="H536" s="2" t="str">
        <f>TEXT(Budget3[[#This Row],[Date]], "mmm")</f>
        <v>Jan</v>
      </c>
      <c r="I536" s="2" t="str">
        <f>IF(ISNUMBER(SEARCH("income", Budget3[[#This Row],[Category]])), "Income", "")</f>
        <v/>
      </c>
    </row>
    <row r="537" spans="1:9" x14ac:dyDescent="0.45">
      <c r="A537">
        <f>MONTH(Budget3[[#This Row],[Date]])</f>
        <v>1</v>
      </c>
      <c r="G537" s="2" t="e">
        <f>SUM(G536+Budget3[[#This Row],[Income]]-Budget3[[#This Row],[Credit]])</f>
        <v>#REF!</v>
      </c>
      <c r="H537" s="2" t="str">
        <f>TEXT(Budget3[[#This Row],[Date]], "mmm")</f>
        <v>Jan</v>
      </c>
      <c r="I537" s="2" t="str">
        <f>IF(ISNUMBER(SEARCH("income", Budget3[[#This Row],[Category]])), "Income", "")</f>
        <v/>
      </c>
    </row>
    <row r="538" spans="1:9" x14ac:dyDescent="0.45">
      <c r="A538">
        <f>MONTH(Budget3[[#This Row],[Date]])</f>
        <v>1</v>
      </c>
      <c r="G538" s="2" t="e">
        <f>SUM(G537+Budget3[[#This Row],[Income]]-Budget3[[#This Row],[Credit]])</f>
        <v>#REF!</v>
      </c>
      <c r="H538" s="2" t="str">
        <f>TEXT(Budget3[[#This Row],[Date]], "mmm")</f>
        <v>Jan</v>
      </c>
      <c r="I538" s="2" t="str">
        <f>IF(ISNUMBER(SEARCH("income", Budget3[[#This Row],[Category]])), "Income", "")</f>
        <v/>
      </c>
    </row>
    <row r="539" spans="1:9" x14ac:dyDescent="0.45">
      <c r="A539">
        <f>MONTH(Budget3[[#This Row],[Date]])</f>
        <v>1</v>
      </c>
      <c r="G539" s="2" t="e">
        <f>SUM(G538+Budget3[[#This Row],[Income]]-Budget3[[#This Row],[Credit]])</f>
        <v>#REF!</v>
      </c>
      <c r="H539" s="2" t="str">
        <f>TEXT(Budget3[[#This Row],[Date]], "mmm")</f>
        <v>Jan</v>
      </c>
      <c r="I539" s="2" t="str">
        <f>IF(ISNUMBER(SEARCH("income", Budget3[[#This Row],[Category]])), "Income", "")</f>
        <v/>
      </c>
    </row>
    <row r="540" spans="1:9" x14ac:dyDescent="0.45">
      <c r="A540">
        <f>MONTH(Budget3[[#This Row],[Date]])</f>
        <v>1</v>
      </c>
      <c r="G540" s="2" t="e">
        <f>SUM(G539+Budget3[[#This Row],[Income]]-Budget3[[#This Row],[Credit]])</f>
        <v>#REF!</v>
      </c>
      <c r="H540" s="2" t="str">
        <f>TEXT(Budget3[[#This Row],[Date]], "mmm")</f>
        <v>Jan</v>
      </c>
      <c r="I540" s="2" t="str">
        <f>IF(ISNUMBER(SEARCH("income", Budget3[[#This Row],[Category]])), "Income", "")</f>
        <v/>
      </c>
    </row>
    <row r="541" spans="1:9" x14ac:dyDescent="0.45">
      <c r="A541">
        <f>MONTH(Budget3[[#This Row],[Date]])</f>
        <v>1</v>
      </c>
      <c r="G541" s="2" t="e">
        <f>SUM(G540+Budget3[[#This Row],[Income]]-Budget3[[#This Row],[Credit]])</f>
        <v>#REF!</v>
      </c>
      <c r="H541" s="2" t="str">
        <f>TEXT(Budget3[[#This Row],[Date]], "mmm")</f>
        <v>Jan</v>
      </c>
      <c r="I541" s="2" t="str">
        <f>IF(ISNUMBER(SEARCH("income", Budget3[[#This Row],[Category]])), "Income", "")</f>
        <v/>
      </c>
    </row>
    <row r="542" spans="1:9" x14ac:dyDescent="0.45">
      <c r="A542">
        <f>MONTH(Budget3[[#This Row],[Date]])</f>
        <v>1</v>
      </c>
      <c r="G542" s="2" t="e">
        <f>SUM(G541+Budget3[[#This Row],[Income]]-Budget3[[#This Row],[Credit]])</f>
        <v>#REF!</v>
      </c>
      <c r="H542" s="2" t="str">
        <f>TEXT(Budget3[[#This Row],[Date]], "mmm")</f>
        <v>Jan</v>
      </c>
      <c r="I542" s="2" t="str">
        <f>IF(ISNUMBER(SEARCH("income", Budget3[[#This Row],[Category]])), "Income", "")</f>
        <v/>
      </c>
    </row>
    <row r="543" spans="1:9" x14ac:dyDescent="0.45">
      <c r="A543">
        <f>MONTH(Budget3[[#This Row],[Date]])</f>
        <v>1</v>
      </c>
      <c r="G543" s="2" t="e">
        <f>SUM(G542+Budget3[[#This Row],[Income]]-Budget3[[#This Row],[Credit]])</f>
        <v>#REF!</v>
      </c>
      <c r="H543" s="2" t="str">
        <f>TEXT(Budget3[[#This Row],[Date]], "mmm")</f>
        <v>Jan</v>
      </c>
      <c r="I543" s="2" t="str">
        <f>IF(ISNUMBER(SEARCH("income", Budget3[[#This Row],[Category]])), "Income", "")</f>
        <v/>
      </c>
    </row>
    <row r="544" spans="1:9" x14ac:dyDescent="0.45">
      <c r="A544">
        <f>MONTH(Budget3[[#This Row],[Date]])</f>
        <v>1</v>
      </c>
      <c r="G544" s="2" t="e">
        <f>SUM(G543+Budget3[[#This Row],[Income]]-Budget3[[#This Row],[Credit]])</f>
        <v>#REF!</v>
      </c>
      <c r="H544" s="2" t="str">
        <f>TEXT(Budget3[[#This Row],[Date]], "mmm")</f>
        <v>Jan</v>
      </c>
      <c r="I544" s="2" t="str">
        <f>IF(ISNUMBER(SEARCH("income", Budget3[[#This Row],[Category]])), "Income", "")</f>
        <v/>
      </c>
    </row>
    <row r="545" spans="1:9" x14ac:dyDescent="0.45">
      <c r="A545">
        <f>MONTH(Budget3[[#This Row],[Date]])</f>
        <v>1</v>
      </c>
      <c r="G545" s="2" t="e">
        <f>SUM(G544+Budget3[[#This Row],[Income]]-Budget3[[#This Row],[Credit]])</f>
        <v>#REF!</v>
      </c>
      <c r="H545" s="2" t="str">
        <f>TEXT(Budget3[[#This Row],[Date]], "mmm")</f>
        <v>Jan</v>
      </c>
      <c r="I545" s="2" t="str">
        <f>IF(ISNUMBER(SEARCH("income", Budget3[[#This Row],[Category]])), "Income", "")</f>
        <v/>
      </c>
    </row>
    <row r="546" spans="1:9" x14ac:dyDescent="0.45">
      <c r="A546">
        <f>MONTH(Budget3[[#This Row],[Date]])</f>
        <v>1</v>
      </c>
      <c r="G546" s="2" t="e">
        <f>SUM(G545+Budget3[[#This Row],[Income]]-Budget3[[#This Row],[Credit]])</f>
        <v>#REF!</v>
      </c>
      <c r="H546" s="2" t="str">
        <f>TEXT(Budget3[[#This Row],[Date]], "mmm")</f>
        <v>Jan</v>
      </c>
      <c r="I546" s="2" t="str">
        <f>IF(ISNUMBER(SEARCH("income", Budget3[[#This Row],[Category]])), "Income", "")</f>
        <v/>
      </c>
    </row>
    <row r="547" spans="1:9" x14ac:dyDescent="0.45">
      <c r="A547">
        <f>MONTH(Budget3[[#This Row],[Date]])</f>
        <v>1</v>
      </c>
      <c r="G547" s="2" t="e">
        <f>SUM(G546+Budget3[[#This Row],[Income]]-Budget3[[#This Row],[Credit]])</f>
        <v>#REF!</v>
      </c>
      <c r="H547" s="2" t="str">
        <f>TEXT(Budget3[[#This Row],[Date]], "mmm")</f>
        <v>Jan</v>
      </c>
      <c r="I547" s="2" t="str">
        <f>IF(ISNUMBER(SEARCH("income", Budget3[[#This Row],[Category]])), "Income", "")</f>
        <v/>
      </c>
    </row>
    <row r="548" spans="1:9" x14ac:dyDescent="0.45">
      <c r="A548">
        <f>MONTH(Budget3[[#This Row],[Date]])</f>
        <v>1</v>
      </c>
      <c r="G548" s="2" t="e">
        <f>SUM(G547+Budget3[[#This Row],[Income]]-Budget3[[#This Row],[Credit]])</f>
        <v>#REF!</v>
      </c>
      <c r="H548" s="2" t="str">
        <f>TEXT(Budget3[[#This Row],[Date]], "mmm")</f>
        <v>Jan</v>
      </c>
      <c r="I548" s="2" t="str">
        <f>IF(ISNUMBER(SEARCH("income", Budget3[[#This Row],[Category]])), "Income", "")</f>
        <v/>
      </c>
    </row>
    <row r="549" spans="1:9" x14ac:dyDescent="0.45">
      <c r="A549">
        <f>MONTH(Budget3[[#This Row],[Date]])</f>
        <v>1</v>
      </c>
      <c r="G549" s="2" t="e">
        <f>SUM(G548+Budget3[[#This Row],[Income]]-Budget3[[#This Row],[Credit]])</f>
        <v>#REF!</v>
      </c>
      <c r="H549" s="2" t="str">
        <f>TEXT(Budget3[[#This Row],[Date]], "mmm")</f>
        <v>Jan</v>
      </c>
      <c r="I549" s="2" t="str">
        <f>IF(ISNUMBER(SEARCH("income", Budget3[[#This Row],[Category]])), "Income", "")</f>
        <v/>
      </c>
    </row>
    <row r="550" spans="1:9" x14ac:dyDescent="0.45">
      <c r="A550">
        <f>MONTH(Budget3[[#This Row],[Date]])</f>
        <v>1</v>
      </c>
      <c r="G550" s="2" t="e">
        <f>SUM(G549+Budget3[[#This Row],[Income]]-Budget3[[#This Row],[Credit]])</f>
        <v>#REF!</v>
      </c>
      <c r="H550" s="2" t="str">
        <f>TEXT(Budget3[[#This Row],[Date]], "mmm")</f>
        <v>Jan</v>
      </c>
      <c r="I550" s="2" t="str">
        <f>IF(ISNUMBER(SEARCH("income", Budget3[[#This Row],[Category]])), "Income", "")</f>
        <v/>
      </c>
    </row>
    <row r="551" spans="1:9" x14ac:dyDescent="0.45">
      <c r="A551">
        <f>MONTH(Budget3[[#This Row],[Date]])</f>
        <v>1</v>
      </c>
      <c r="G551" s="2" t="e">
        <f>SUM(G550+Budget3[[#This Row],[Income]]-Budget3[[#This Row],[Credit]])</f>
        <v>#REF!</v>
      </c>
      <c r="H551" s="2" t="str">
        <f>TEXT(Budget3[[#This Row],[Date]], "mmm")</f>
        <v>Jan</v>
      </c>
      <c r="I551" s="2" t="str">
        <f>IF(ISNUMBER(SEARCH("income", Budget3[[#This Row],[Category]])), "Income", "")</f>
        <v/>
      </c>
    </row>
    <row r="552" spans="1:9" x14ac:dyDescent="0.45">
      <c r="A552">
        <f>MONTH(Budget3[[#This Row],[Date]])</f>
        <v>1</v>
      </c>
      <c r="G552" s="2" t="e">
        <f>SUM(G551+Budget3[[#This Row],[Income]]-Budget3[[#This Row],[Credit]])</f>
        <v>#REF!</v>
      </c>
      <c r="H552" s="2" t="str">
        <f>TEXT(Budget3[[#This Row],[Date]], "mmm")</f>
        <v>Jan</v>
      </c>
      <c r="I552" s="2" t="str">
        <f>IF(ISNUMBER(SEARCH("income", Budget3[[#This Row],[Category]])), "Income", "")</f>
        <v/>
      </c>
    </row>
    <row r="553" spans="1:9" x14ac:dyDescent="0.45">
      <c r="A553">
        <f>MONTH(Budget3[[#This Row],[Date]])</f>
        <v>1</v>
      </c>
      <c r="G553" s="2" t="e">
        <f>SUM(G552+Budget3[[#This Row],[Income]]-Budget3[[#This Row],[Credit]])</f>
        <v>#REF!</v>
      </c>
      <c r="H553" s="2" t="str">
        <f>TEXT(Budget3[[#This Row],[Date]], "mmm")</f>
        <v>Jan</v>
      </c>
      <c r="I553" s="2" t="str">
        <f>IF(ISNUMBER(SEARCH("income", Budget3[[#This Row],[Category]])), "Income", "")</f>
        <v/>
      </c>
    </row>
    <row r="554" spans="1:9" x14ac:dyDescent="0.45">
      <c r="A554">
        <f>MONTH(Budget3[[#This Row],[Date]])</f>
        <v>1</v>
      </c>
      <c r="G554" s="2" t="e">
        <f>SUM(G553+Budget3[[#This Row],[Income]]-Budget3[[#This Row],[Credit]])</f>
        <v>#REF!</v>
      </c>
      <c r="H554" s="2" t="str">
        <f>TEXT(Budget3[[#This Row],[Date]], "mmm")</f>
        <v>Jan</v>
      </c>
      <c r="I554" s="2" t="str">
        <f>IF(ISNUMBER(SEARCH("income", Budget3[[#This Row],[Category]])), "Income", "")</f>
        <v/>
      </c>
    </row>
    <row r="555" spans="1:9" x14ac:dyDescent="0.45">
      <c r="A555">
        <f>MONTH(Budget3[[#This Row],[Date]])</f>
        <v>1</v>
      </c>
      <c r="G555" s="2" t="e">
        <f>SUM(G554+Budget3[[#This Row],[Income]]-Budget3[[#This Row],[Credit]])</f>
        <v>#REF!</v>
      </c>
      <c r="H555" s="2" t="str">
        <f>TEXT(Budget3[[#This Row],[Date]], "mmm")</f>
        <v>Jan</v>
      </c>
      <c r="I555" s="2" t="str">
        <f>IF(ISNUMBER(SEARCH("income", Budget3[[#This Row],[Category]])), "Income", "")</f>
        <v/>
      </c>
    </row>
    <row r="556" spans="1:9" x14ac:dyDescent="0.45">
      <c r="A556">
        <f>MONTH(Budget3[[#This Row],[Date]])</f>
        <v>1</v>
      </c>
      <c r="G556" s="2" t="e">
        <f>SUM(G555+Budget3[[#This Row],[Income]]-Budget3[[#This Row],[Credit]])</f>
        <v>#REF!</v>
      </c>
      <c r="H556" s="2" t="str">
        <f>TEXT(Budget3[[#This Row],[Date]], "mmm")</f>
        <v>Jan</v>
      </c>
      <c r="I556" s="2" t="str">
        <f>IF(ISNUMBER(SEARCH("income", Budget3[[#This Row],[Category]])), "Income", "")</f>
        <v/>
      </c>
    </row>
    <row r="557" spans="1:9" x14ac:dyDescent="0.45">
      <c r="A557">
        <f>MONTH(Budget3[[#This Row],[Date]])</f>
        <v>1</v>
      </c>
      <c r="G557" s="2" t="e">
        <f>SUM(G556+Budget3[[#This Row],[Income]]-Budget3[[#This Row],[Credit]])</f>
        <v>#REF!</v>
      </c>
      <c r="H557" s="2" t="str">
        <f>TEXT(Budget3[[#This Row],[Date]], "mmm")</f>
        <v>Jan</v>
      </c>
      <c r="I557" s="2" t="str">
        <f>IF(ISNUMBER(SEARCH("income", Budget3[[#This Row],[Category]])), "Income", "")</f>
        <v/>
      </c>
    </row>
    <row r="558" spans="1:9" x14ac:dyDescent="0.45">
      <c r="A558">
        <f>MONTH(Budget3[[#This Row],[Date]])</f>
        <v>1</v>
      </c>
      <c r="G558" s="2" t="e">
        <f>SUM(G557+Budget3[[#This Row],[Income]]-Budget3[[#This Row],[Credit]])</f>
        <v>#REF!</v>
      </c>
      <c r="H558" s="2" t="str">
        <f>TEXT(Budget3[[#This Row],[Date]], "mmm")</f>
        <v>Jan</v>
      </c>
      <c r="I558" s="2" t="str">
        <f>IF(ISNUMBER(SEARCH("income", Budget3[[#This Row],[Category]])), "Income", "")</f>
        <v/>
      </c>
    </row>
    <row r="559" spans="1:9" x14ac:dyDescent="0.45">
      <c r="A559">
        <f>MONTH(Budget3[[#This Row],[Date]])</f>
        <v>1</v>
      </c>
      <c r="G559" s="2" t="e">
        <f>SUM(G558+Budget3[[#This Row],[Income]]-Budget3[[#This Row],[Credit]])</f>
        <v>#REF!</v>
      </c>
      <c r="H559" s="2" t="str">
        <f>TEXT(Budget3[[#This Row],[Date]], "mmm")</f>
        <v>Jan</v>
      </c>
      <c r="I559" s="2" t="str">
        <f>IF(ISNUMBER(SEARCH("income", Budget3[[#This Row],[Category]])), "Income", "")</f>
        <v/>
      </c>
    </row>
    <row r="560" spans="1:9" x14ac:dyDescent="0.45">
      <c r="A560">
        <f>MONTH(Budget3[[#This Row],[Date]])</f>
        <v>1</v>
      </c>
      <c r="G560" s="2" t="e">
        <f>SUM(G559+Budget3[[#This Row],[Income]]-Budget3[[#This Row],[Credit]])</f>
        <v>#REF!</v>
      </c>
      <c r="H560" s="2" t="str">
        <f>TEXT(Budget3[[#This Row],[Date]], "mmm")</f>
        <v>Jan</v>
      </c>
      <c r="I560" s="2" t="str">
        <f>IF(ISNUMBER(SEARCH("income", Budget3[[#This Row],[Category]])), "Income", "")</f>
        <v/>
      </c>
    </row>
    <row r="561" spans="1:9" x14ac:dyDescent="0.45">
      <c r="A561">
        <f>MONTH(Budget3[[#This Row],[Date]])</f>
        <v>1</v>
      </c>
      <c r="G561" s="2" t="e">
        <f>SUM(G560+Budget3[[#This Row],[Income]]-Budget3[[#This Row],[Credit]])</f>
        <v>#REF!</v>
      </c>
      <c r="H561" s="2" t="str">
        <f>TEXT(Budget3[[#This Row],[Date]], "mmm")</f>
        <v>Jan</v>
      </c>
      <c r="I561" s="2" t="str">
        <f>IF(ISNUMBER(SEARCH("income", Budget3[[#This Row],[Category]])), "Income", "")</f>
        <v/>
      </c>
    </row>
    <row r="562" spans="1:9" x14ac:dyDescent="0.45">
      <c r="A562">
        <f>MONTH(Budget3[[#This Row],[Date]])</f>
        <v>1</v>
      </c>
      <c r="G562" s="2" t="e">
        <f>SUM(G561+Budget3[[#This Row],[Income]]-Budget3[[#This Row],[Credit]])</f>
        <v>#REF!</v>
      </c>
      <c r="H562" s="2" t="str">
        <f>TEXT(Budget3[[#This Row],[Date]], "mmm")</f>
        <v>Jan</v>
      </c>
      <c r="I562" s="2" t="str">
        <f>IF(ISNUMBER(SEARCH("income", Budget3[[#This Row],[Category]])), "Income", "")</f>
        <v/>
      </c>
    </row>
    <row r="563" spans="1:9" x14ac:dyDescent="0.45">
      <c r="A563">
        <f>MONTH(Budget3[[#This Row],[Date]])</f>
        <v>1</v>
      </c>
      <c r="G563" s="2" t="e">
        <f>SUM(G562+Budget3[[#This Row],[Income]]-Budget3[[#This Row],[Credit]])</f>
        <v>#REF!</v>
      </c>
      <c r="H563" s="2" t="str">
        <f>TEXT(Budget3[[#This Row],[Date]], "mmm")</f>
        <v>Jan</v>
      </c>
      <c r="I563" s="2" t="str">
        <f>IF(ISNUMBER(SEARCH("income", Budget3[[#This Row],[Category]])), "Income", "")</f>
        <v/>
      </c>
    </row>
    <row r="564" spans="1:9" x14ac:dyDescent="0.45">
      <c r="A564">
        <f>MONTH(Budget3[[#This Row],[Date]])</f>
        <v>1</v>
      </c>
      <c r="G564" s="2" t="e">
        <f>SUM(G563+Budget3[[#This Row],[Income]]-Budget3[[#This Row],[Credit]])</f>
        <v>#REF!</v>
      </c>
      <c r="H564" s="2" t="str">
        <f>TEXT(Budget3[[#This Row],[Date]], "mmm")</f>
        <v>Jan</v>
      </c>
      <c r="I564" s="2" t="str">
        <f>IF(ISNUMBER(SEARCH("income", Budget3[[#This Row],[Category]])), "Income", "")</f>
        <v/>
      </c>
    </row>
    <row r="565" spans="1:9" x14ac:dyDescent="0.45">
      <c r="A565">
        <f>MONTH(Budget3[[#This Row],[Date]])</f>
        <v>1</v>
      </c>
      <c r="G565" s="2" t="e">
        <f>SUM(G564+Budget3[[#This Row],[Income]]-Budget3[[#This Row],[Credit]])</f>
        <v>#REF!</v>
      </c>
      <c r="H565" s="2" t="str">
        <f>TEXT(Budget3[[#This Row],[Date]], "mmm")</f>
        <v>Jan</v>
      </c>
      <c r="I565" s="2" t="str">
        <f>IF(ISNUMBER(SEARCH("income", Budget3[[#This Row],[Category]])), "Income", "")</f>
        <v/>
      </c>
    </row>
    <row r="566" spans="1:9" x14ac:dyDescent="0.45">
      <c r="A566">
        <f>MONTH(Budget3[[#This Row],[Date]])</f>
        <v>1</v>
      </c>
      <c r="G566" s="2" t="e">
        <f>SUM(G565+Budget3[[#This Row],[Income]]-Budget3[[#This Row],[Credit]])</f>
        <v>#REF!</v>
      </c>
      <c r="H566" s="2" t="str">
        <f>TEXT(Budget3[[#This Row],[Date]], "mmm")</f>
        <v>Jan</v>
      </c>
      <c r="I566" s="2" t="str">
        <f>IF(ISNUMBER(SEARCH("income", Budget3[[#This Row],[Category]])), "Income", "")</f>
        <v/>
      </c>
    </row>
    <row r="567" spans="1:9" x14ac:dyDescent="0.45">
      <c r="A567">
        <f>MONTH(Budget3[[#This Row],[Date]])</f>
        <v>1</v>
      </c>
      <c r="G567" s="2" t="e">
        <f>SUM(G566+Budget3[[#This Row],[Income]]-Budget3[[#This Row],[Credit]])</f>
        <v>#REF!</v>
      </c>
      <c r="H567" s="2" t="str">
        <f>TEXT(Budget3[[#This Row],[Date]], "mmm")</f>
        <v>Jan</v>
      </c>
      <c r="I567" s="2" t="str">
        <f>IF(ISNUMBER(SEARCH("income", Budget3[[#This Row],[Category]])), "Income", "")</f>
        <v/>
      </c>
    </row>
    <row r="568" spans="1:9" x14ac:dyDescent="0.45">
      <c r="A568">
        <f>MONTH(Budget3[[#This Row],[Date]])</f>
        <v>1</v>
      </c>
      <c r="G568" s="2" t="e">
        <f>SUM(G567+Budget3[[#This Row],[Income]]-Budget3[[#This Row],[Credit]])</f>
        <v>#REF!</v>
      </c>
      <c r="H568" s="2" t="str">
        <f>TEXT(Budget3[[#This Row],[Date]], "mmm")</f>
        <v>Jan</v>
      </c>
      <c r="I568" s="2" t="str">
        <f>IF(ISNUMBER(SEARCH("income", Budget3[[#This Row],[Category]])), "Income", "")</f>
        <v/>
      </c>
    </row>
    <row r="569" spans="1:9" x14ac:dyDescent="0.45">
      <c r="A569">
        <f>MONTH(Budget3[[#This Row],[Date]])</f>
        <v>1</v>
      </c>
      <c r="G569" s="2" t="e">
        <f>SUM(G568+Budget3[[#This Row],[Income]]-Budget3[[#This Row],[Credit]])</f>
        <v>#REF!</v>
      </c>
      <c r="H569" s="2" t="str">
        <f>TEXT(Budget3[[#This Row],[Date]], "mmm")</f>
        <v>Jan</v>
      </c>
      <c r="I569" s="2" t="str">
        <f>IF(ISNUMBER(SEARCH("income", Budget3[[#This Row],[Category]])), "Income", "")</f>
        <v/>
      </c>
    </row>
    <row r="570" spans="1:9" x14ac:dyDescent="0.45">
      <c r="A570">
        <f>MONTH(Budget3[[#This Row],[Date]])</f>
        <v>1</v>
      </c>
      <c r="G570" s="2" t="e">
        <f>SUM(G569+Budget3[[#This Row],[Income]]-Budget3[[#This Row],[Credit]])</f>
        <v>#REF!</v>
      </c>
      <c r="H570" s="2" t="str">
        <f>TEXT(Budget3[[#This Row],[Date]], "mmm")</f>
        <v>Jan</v>
      </c>
      <c r="I570" s="2" t="str">
        <f>IF(ISNUMBER(SEARCH("income", Budget3[[#This Row],[Category]])), "Income", "")</f>
        <v/>
      </c>
    </row>
    <row r="571" spans="1:9" x14ac:dyDescent="0.45">
      <c r="A571">
        <f>MONTH(Budget3[[#This Row],[Date]])</f>
        <v>1</v>
      </c>
      <c r="G571" s="2" t="e">
        <f>SUM(G570+Budget3[[#This Row],[Income]]-Budget3[[#This Row],[Credit]])</f>
        <v>#REF!</v>
      </c>
      <c r="H571" s="2" t="str">
        <f>TEXT(Budget3[[#This Row],[Date]], "mmm")</f>
        <v>Jan</v>
      </c>
      <c r="I571" s="2" t="str">
        <f>IF(ISNUMBER(SEARCH("income", Budget3[[#This Row],[Category]])), "Income", "")</f>
        <v/>
      </c>
    </row>
    <row r="572" spans="1:9" x14ac:dyDescent="0.45">
      <c r="A572">
        <f>MONTH(Budget3[[#This Row],[Date]])</f>
        <v>1</v>
      </c>
      <c r="G572" s="2" t="e">
        <f>SUM(G571+Budget3[[#This Row],[Income]]-Budget3[[#This Row],[Credit]])</f>
        <v>#REF!</v>
      </c>
      <c r="H572" s="2" t="str">
        <f>TEXT(Budget3[[#This Row],[Date]], "mmm")</f>
        <v>Jan</v>
      </c>
      <c r="I572" s="2" t="str">
        <f>IF(ISNUMBER(SEARCH("income", Budget3[[#This Row],[Category]])), "Income", "")</f>
        <v/>
      </c>
    </row>
    <row r="573" spans="1:9" x14ac:dyDescent="0.45">
      <c r="A573">
        <f>MONTH(Budget3[[#This Row],[Date]])</f>
        <v>1</v>
      </c>
      <c r="G573" s="2" t="e">
        <f>SUM(G572+Budget3[[#This Row],[Income]]-Budget3[[#This Row],[Credit]])</f>
        <v>#REF!</v>
      </c>
      <c r="H573" s="2" t="str">
        <f>TEXT(Budget3[[#This Row],[Date]], "mmm")</f>
        <v>Jan</v>
      </c>
      <c r="I573" s="2" t="str">
        <f>IF(ISNUMBER(SEARCH("income", Budget3[[#This Row],[Category]])), "Income", "")</f>
        <v/>
      </c>
    </row>
    <row r="574" spans="1:9" x14ac:dyDescent="0.45">
      <c r="A574">
        <f>MONTH(Budget3[[#This Row],[Date]])</f>
        <v>1</v>
      </c>
      <c r="G574" s="2" t="e">
        <f>SUM(G573+Budget3[[#This Row],[Income]]-Budget3[[#This Row],[Credit]])</f>
        <v>#REF!</v>
      </c>
      <c r="H574" s="2" t="str">
        <f>TEXT(Budget3[[#This Row],[Date]], "mmm")</f>
        <v>Jan</v>
      </c>
      <c r="I574" s="2" t="str">
        <f>IF(ISNUMBER(SEARCH("income", Budget3[[#This Row],[Category]])), "Income", "")</f>
        <v/>
      </c>
    </row>
    <row r="575" spans="1:9" x14ac:dyDescent="0.45">
      <c r="A575">
        <f>MONTH(Budget3[[#This Row],[Date]])</f>
        <v>1</v>
      </c>
      <c r="G575" s="2" t="e">
        <f>SUM(G574+Budget3[[#This Row],[Income]]-Budget3[[#This Row],[Credit]])</f>
        <v>#REF!</v>
      </c>
      <c r="H575" s="2" t="str">
        <f>TEXT(Budget3[[#This Row],[Date]], "mmm")</f>
        <v>Jan</v>
      </c>
      <c r="I575" s="2" t="str">
        <f>IF(ISNUMBER(SEARCH("income", Budget3[[#This Row],[Category]])), "Income", "")</f>
        <v/>
      </c>
    </row>
    <row r="576" spans="1:9" x14ac:dyDescent="0.45">
      <c r="A576">
        <f>MONTH(Budget3[[#This Row],[Date]])</f>
        <v>1</v>
      </c>
      <c r="G576" s="2" t="e">
        <f>SUM(G575+Budget3[[#This Row],[Income]]-Budget3[[#This Row],[Credit]])</f>
        <v>#REF!</v>
      </c>
      <c r="H576" s="2" t="str">
        <f>TEXT(Budget3[[#This Row],[Date]], "mmm")</f>
        <v>Jan</v>
      </c>
      <c r="I576" s="2" t="str">
        <f>IF(ISNUMBER(SEARCH("income", Budget3[[#This Row],[Category]])), "Income", "")</f>
        <v/>
      </c>
    </row>
    <row r="577" spans="1:9" x14ac:dyDescent="0.45">
      <c r="A577">
        <f>MONTH(Budget3[[#This Row],[Date]])</f>
        <v>1</v>
      </c>
      <c r="G577" s="2" t="e">
        <f>SUM(G576+Budget3[[#This Row],[Income]]-Budget3[[#This Row],[Credit]])</f>
        <v>#REF!</v>
      </c>
      <c r="H577" s="2" t="str">
        <f>TEXT(Budget3[[#This Row],[Date]], "mmm")</f>
        <v>Jan</v>
      </c>
      <c r="I577" s="2" t="str">
        <f>IF(ISNUMBER(SEARCH("income", Budget3[[#This Row],[Category]])), "Income", "")</f>
        <v/>
      </c>
    </row>
    <row r="578" spans="1:9" x14ac:dyDescent="0.45">
      <c r="A578">
        <f>MONTH(Budget3[[#This Row],[Date]])</f>
        <v>1</v>
      </c>
      <c r="G578" s="2" t="e">
        <f>SUM(G577+Budget3[[#This Row],[Income]]-Budget3[[#This Row],[Credit]])</f>
        <v>#REF!</v>
      </c>
      <c r="H578" s="2" t="str">
        <f>TEXT(Budget3[[#This Row],[Date]], "mmm")</f>
        <v>Jan</v>
      </c>
      <c r="I578" s="2" t="str">
        <f>IF(ISNUMBER(SEARCH("income", Budget3[[#This Row],[Category]])), "Income", "")</f>
        <v/>
      </c>
    </row>
    <row r="579" spans="1:9" x14ac:dyDescent="0.45">
      <c r="A579">
        <f>MONTH(Budget3[[#This Row],[Date]])</f>
        <v>1</v>
      </c>
      <c r="G579" s="2" t="e">
        <f>SUM(G578+Budget3[[#This Row],[Income]]-Budget3[[#This Row],[Credit]])</f>
        <v>#REF!</v>
      </c>
      <c r="H579" s="2" t="str">
        <f>TEXT(Budget3[[#This Row],[Date]], "mmm")</f>
        <v>Jan</v>
      </c>
      <c r="I579" s="2" t="str">
        <f>IF(ISNUMBER(SEARCH("income", Budget3[[#This Row],[Category]])), "Income", "")</f>
        <v/>
      </c>
    </row>
    <row r="580" spans="1:9" x14ac:dyDescent="0.45">
      <c r="A580">
        <f>MONTH(Budget3[[#This Row],[Date]])</f>
        <v>1</v>
      </c>
      <c r="G580" s="2" t="e">
        <f>SUM(G579+Budget3[[#This Row],[Income]]-Budget3[[#This Row],[Credit]])</f>
        <v>#REF!</v>
      </c>
      <c r="H580" s="2" t="str">
        <f>TEXT(Budget3[[#This Row],[Date]], "mmm")</f>
        <v>Jan</v>
      </c>
      <c r="I580" s="2" t="str">
        <f>IF(ISNUMBER(SEARCH("income", Budget3[[#This Row],[Category]])), "Income", "")</f>
        <v/>
      </c>
    </row>
    <row r="581" spans="1:9" x14ac:dyDescent="0.45">
      <c r="A581">
        <f>MONTH(Budget3[[#This Row],[Date]])</f>
        <v>1</v>
      </c>
      <c r="G581" s="2" t="e">
        <f>SUM(G580+Budget3[[#This Row],[Income]]-Budget3[[#This Row],[Credit]])</f>
        <v>#REF!</v>
      </c>
      <c r="H581" s="2" t="str">
        <f>TEXT(Budget3[[#This Row],[Date]], "mmm")</f>
        <v>Jan</v>
      </c>
      <c r="I581" s="2" t="str">
        <f>IF(ISNUMBER(SEARCH("income", Budget3[[#This Row],[Category]])), "Income", "")</f>
        <v/>
      </c>
    </row>
    <row r="582" spans="1:9" x14ac:dyDescent="0.45">
      <c r="A582">
        <f>MONTH(Budget3[[#This Row],[Date]])</f>
        <v>1</v>
      </c>
      <c r="G582" s="2" t="e">
        <f>SUM(G581+Budget3[[#This Row],[Income]]-Budget3[[#This Row],[Credit]])</f>
        <v>#REF!</v>
      </c>
      <c r="H582" s="2" t="str">
        <f>TEXT(Budget3[[#This Row],[Date]], "mmm")</f>
        <v>Jan</v>
      </c>
      <c r="I582" s="2" t="str">
        <f>IF(ISNUMBER(SEARCH("income", Budget3[[#This Row],[Category]])), "Income", "")</f>
        <v/>
      </c>
    </row>
    <row r="583" spans="1:9" x14ac:dyDescent="0.45">
      <c r="A583">
        <f>MONTH(Budget3[[#This Row],[Date]])</f>
        <v>1</v>
      </c>
      <c r="G583" s="2" t="e">
        <f>SUM(G582+Budget3[[#This Row],[Income]]-Budget3[[#This Row],[Credit]])</f>
        <v>#REF!</v>
      </c>
      <c r="H583" s="2" t="str">
        <f>TEXT(Budget3[[#This Row],[Date]], "mmm")</f>
        <v>Jan</v>
      </c>
      <c r="I583" s="2" t="str">
        <f>IF(ISNUMBER(SEARCH("income", Budget3[[#This Row],[Category]])), "Income", "")</f>
        <v/>
      </c>
    </row>
    <row r="584" spans="1:9" x14ac:dyDescent="0.45">
      <c r="A584">
        <f>MONTH(Budget3[[#This Row],[Date]])</f>
        <v>1</v>
      </c>
      <c r="G584" s="2" t="e">
        <f>SUM(G583+Budget3[[#This Row],[Income]]-Budget3[[#This Row],[Credit]])</f>
        <v>#REF!</v>
      </c>
      <c r="H584" s="2" t="str">
        <f>TEXT(Budget3[[#This Row],[Date]], "mmm")</f>
        <v>Jan</v>
      </c>
      <c r="I584" s="2" t="str">
        <f>IF(ISNUMBER(SEARCH("income", Budget3[[#This Row],[Category]])), "Income", "")</f>
        <v/>
      </c>
    </row>
    <row r="585" spans="1:9" x14ac:dyDescent="0.45">
      <c r="A585">
        <f>MONTH(Budget3[[#This Row],[Date]])</f>
        <v>1</v>
      </c>
      <c r="G585" s="2" t="e">
        <f>SUM(G584+Budget3[[#This Row],[Income]]-Budget3[[#This Row],[Credit]])</f>
        <v>#REF!</v>
      </c>
      <c r="H585" s="2" t="str">
        <f>TEXT(Budget3[[#This Row],[Date]], "mmm")</f>
        <v>Jan</v>
      </c>
      <c r="I585" s="2" t="str">
        <f>IF(ISNUMBER(SEARCH("income", Budget3[[#This Row],[Category]])), "Income", "")</f>
        <v/>
      </c>
    </row>
    <row r="586" spans="1:9" x14ac:dyDescent="0.45">
      <c r="A586">
        <f>MONTH(Budget3[[#This Row],[Date]])</f>
        <v>1</v>
      </c>
      <c r="G586" s="2" t="e">
        <f>SUM(G585+Budget3[[#This Row],[Income]]-Budget3[[#This Row],[Credit]])</f>
        <v>#REF!</v>
      </c>
      <c r="H586" s="2" t="str">
        <f>TEXT(Budget3[[#This Row],[Date]], "mmm")</f>
        <v>Jan</v>
      </c>
      <c r="I586" s="2" t="str">
        <f>IF(ISNUMBER(SEARCH("income", Budget3[[#This Row],[Category]])), "Income", "")</f>
        <v/>
      </c>
    </row>
    <row r="587" spans="1:9" x14ac:dyDescent="0.45">
      <c r="A587">
        <f>MONTH(Budget3[[#This Row],[Date]])</f>
        <v>1</v>
      </c>
      <c r="G587" s="2" t="e">
        <f>SUM(G586+Budget3[[#This Row],[Income]]-Budget3[[#This Row],[Credit]])</f>
        <v>#REF!</v>
      </c>
      <c r="H587" s="2" t="str">
        <f>TEXT(Budget3[[#This Row],[Date]], "mmm")</f>
        <v>Jan</v>
      </c>
      <c r="I587" s="2" t="str">
        <f>IF(ISNUMBER(SEARCH("income", Budget3[[#This Row],[Category]])), "Income", "")</f>
        <v/>
      </c>
    </row>
    <row r="588" spans="1:9" x14ac:dyDescent="0.45">
      <c r="A588">
        <f>MONTH(Budget3[[#This Row],[Date]])</f>
        <v>1</v>
      </c>
      <c r="G588" s="2" t="e">
        <f>SUM(G587+Budget3[[#This Row],[Income]]-Budget3[[#This Row],[Credit]])</f>
        <v>#REF!</v>
      </c>
      <c r="H588" s="2" t="str">
        <f>TEXT(Budget3[[#This Row],[Date]], "mmm")</f>
        <v>Jan</v>
      </c>
      <c r="I588" s="2" t="str">
        <f>IF(ISNUMBER(SEARCH("income", Budget3[[#This Row],[Category]])), "Income", "")</f>
        <v/>
      </c>
    </row>
    <row r="589" spans="1:9" x14ac:dyDescent="0.45">
      <c r="A589">
        <f>MONTH(Budget3[[#This Row],[Date]])</f>
        <v>1</v>
      </c>
      <c r="G589" s="2" t="e">
        <f>SUM(G588+Budget3[[#This Row],[Income]]-Budget3[[#This Row],[Credit]])</f>
        <v>#REF!</v>
      </c>
      <c r="H589" s="2" t="str">
        <f>TEXT(Budget3[[#This Row],[Date]], "mmm")</f>
        <v>Jan</v>
      </c>
      <c r="I589" s="2" t="str">
        <f>IF(ISNUMBER(SEARCH("income", Budget3[[#This Row],[Category]])), "Income", "")</f>
        <v/>
      </c>
    </row>
    <row r="590" spans="1:9" x14ac:dyDescent="0.45">
      <c r="A590">
        <f>MONTH(Budget3[[#This Row],[Date]])</f>
        <v>1</v>
      </c>
      <c r="G590" s="2" t="e">
        <f>SUM(G589+Budget3[[#This Row],[Income]]-Budget3[[#This Row],[Credit]])</f>
        <v>#REF!</v>
      </c>
      <c r="H590" s="2" t="str">
        <f>TEXT(Budget3[[#This Row],[Date]], "mmm")</f>
        <v>Jan</v>
      </c>
      <c r="I590" s="2" t="str">
        <f>IF(ISNUMBER(SEARCH("income", Budget3[[#This Row],[Category]])), "Income", "")</f>
        <v/>
      </c>
    </row>
    <row r="591" spans="1:9" x14ac:dyDescent="0.45">
      <c r="A591">
        <f>MONTH(Budget3[[#This Row],[Date]])</f>
        <v>1</v>
      </c>
      <c r="G591" s="2" t="e">
        <f>SUM(G590+Budget3[[#This Row],[Income]]-Budget3[[#This Row],[Credit]])</f>
        <v>#REF!</v>
      </c>
      <c r="H591" s="2" t="str">
        <f>TEXT(Budget3[[#This Row],[Date]], "mmm")</f>
        <v>Jan</v>
      </c>
      <c r="I591" s="2" t="str">
        <f>IF(ISNUMBER(SEARCH("income", Budget3[[#This Row],[Category]])), "Income", "")</f>
        <v/>
      </c>
    </row>
    <row r="592" spans="1:9" x14ac:dyDescent="0.45">
      <c r="A592">
        <f>MONTH(Budget3[[#This Row],[Date]])</f>
        <v>1</v>
      </c>
      <c r="G592" s="2" t="e">
        <f>SUM(G591+Budget3[[#This Row],[Income]]-Budget3[[#This Row],[Credit]])</f>
        <v>#REF!</v>
      </c>
      <c r="H592" s="2" t="str">
        <f>TEXT(Budget3[[#This Row],[Date]], "mmm")</f>
        <v>Jan</v>
      </c>
      <c r="I592" s="2" t="str">
        <f>IF(ISNUMBER(SEARCH("income", Budget3[[#This Row],[Category]])), "Income", "")</f>
        <v/>
      </c>
    </row>
    <row r="593" spans="1:9" x14ac:dyDescent="0.45">
      <c r="A593">
        <f>MONTH(Budget3[[#This Row],[Date]])</f>
        <v>1</v>
      </c>
      <c r="G593" s="2" t="e">
        <f>SUM(G592+Budget3[[#This Row],[Income]]-Budget3[[#This Row],[Credit]])</f>
        <v>#REF!</v>
      </c>
      <c r="H593" s="2" t="str">
        <f>TEXT(Budget3[[#This Row],[Date]], "mmm")</f>
        <v>Jan</v>
      </c>
      <c r="I593" s="2" t="str">
        <f>IF(ISNUMBER(SEARCH("income", Budget3[[#This Row],[Category]])), "Income", "")</f>
        <v/>
      </c>
    </row>
    <row r="594" spans="1:9" x14ac:dyDescent="0.45">
      <c r="A594">
        <f>MONTH(Budget3[[#This Row],[Date]])</f>
        <v>1</v>
      </c>
      <c r="G594" s="2" t="e">
        <f>SUM(G593+Budget3[[#This Row],[Income]]-Budget3[[#This Row],[Credit]])</f>
        <v>#REF!</v>
      </c>
      <c r="H594" s="2" t="str">
        <f>TEXT(Budget3[[#This Row],[Date]], "mmm")</f>
        <v>Jan</v>
      </c>
      <c r="I594" s="2" t="str">
        <f>IF(ISNUMBER(SEARCH("income", Budget3[[#This Row],[Category]])), "Income", "")</f>
        <v/>
      </c>
    </row>
    <row r="595" spans="1:9" x14ac:dyDescent="0.45">
      <c r="A595">
        <f>MONTH(Budget3[[#This Row],[Date]])</f>
        <v>1</v>
      </c>
      <c r="G595" s="2" t="e">
        <f>SUM(G594+Budget3[[#This Row],[Income]]-Budget3[[#This Row],[Credit]])</f>
        <v>#REF!</v>
      </c>
      <c r="H595" s="2" t="str">
        <f>TEXT(Budget3[[#This Row],[Date]], "mmm")</f>
        <v>Jan</v>
      </c>
      <c r="I595" s="2" t="str">
        <f>IF(ISNUMBER(SEARCH("income", Budget3[[#This Row],[Category]])), "Income", "")</f>
        <v/>
      </c>
    </row>
    <row r="596" spans="1:9" x14ac:dyDescent="0.45">
      <c r="A596">
        <f>MONTH(Budget3[[#This Row],[Date]])</f>
        <v>1</v>
      </c>
      <c r="G596" s="2" t="e">
        <f>SUM(G595+Budget3[[#This Row],[Income]]-Budget3[[#This Row],[Credit]])</f>
        <v>#REF!</v>
      </c>
      <c r="H596" s="2" t="str">
        <f>TEXT(Budget3[[#This Row],[Date]], "mmm")</f>
        <v>Jan</v>
      </c>
      <c r="I596" s="2" t="str">
        <f>IF(ISNUMBER(SEARCH("income", Budget3[[#This Row],[Category]])), "Income", "")</f>
        <v/>
      </c>
    </row>
    <row r="597" spans="1:9" x14ac:dyDescent="0.45">
      <c r="A597">
        <f>MONTH(Budget3[[#This Row],[Date]])</f>
        <v>1</v>
      </c>
      <c r="G597" s="2" t="e">
        <f>SUM(G596+Budget3[[#This Row],[Income]]-Budget3[[#This Row],[Credit]])</f>
        <v>#REF!</v>
      </c>
      <c r="H597" s="2" t="str">
        <f>TEXT(Budget3[[#This Row],[Date]], "mmm")</f>
        <v>Jan</v>
      </c>
      <c r="I597" s="2" t="str">
        <f>IF(ISNUMBER(SEARCH("income", Budget3[[#This Row],[Category]])), "Income", "")</f>
        <v/>
      </c>
    </row>
    <row r="598" spans="1:9" x14ac:dyDescent="0.45">
      <c r="A598">
        <f>MONTH(Budget3[[#This Row],[Date]])</f>
        <v>1</v>
      </c>
      <c r="G598" s="2" t="e">
        <f>SUM(G597+Budget3[[#This Row],[Income]]-Budget3[[#This Row],[Credit]])</f>
        <v>#REF!</v>
      </c>
      <c r="H598" s="2" t="str">
        <f>TEXT(Budget3[[#This Row],[Date]], "mmm")</f>
        <v>Jan</v>
      </c>
      <c r="I598" s="2" t="str">
        <f>IF(ISNUMBER(SEARCH("income", Budget3[[#This Row],[Category]])), "Income", "")</f>
        <v/>
      </c>
    </row>
    <row r="599" spans="1:9" x14ac:dyDescent="0.45">
      <c r="A599">
        <f>MONTH(Budget3[[#This Row],[Date]])</f>
        <v>1</v>
      </c>
      <c r="G599" s="2" t="e">
        <f>SUM(G598+Budget3[[#This Row],[Income]]-Budget3[[#This Row],[Credit]])</f>
        <v>#REF!</v>
      </c>
      <c r="H599" s="2" t="str">
        <f>TEXT(Budget3[[#This Row],[Date]], "mmm")</f>
        <v>Jan</v>
      </c>
      <c r="I599" s="2" t="str">
        <f>IF(ISNUMBER(SEARCH("income", Budget3[[#This Row],[Category]])), "Income", "")</f>
        <v/>
      </c>
    </row>
    <row r="600" spans="1:9" x14ac:dyDescent="0.45">
      <c r="A600">
        <f>MONTH(Budget3[[#This Row],[Date]])</f>
        <v>1</v>
      </c>
      <c r="G600" s="2" t="e">
        <f>SUM(G599+Budget3[[#This Row],[Income]]-Budget3[[#This Row],[Credit]])</f>
        <v>#REF!</v>
      </c>
      <c r="H600" s="2" t="str">
        <f>TEXT(Budget3[[#This Row],[Date]], "mmm")</f>
        <v>Jan</v>
      </c>
      <c r="I600" s="2" t="str">
        <f>IF(ISNUMBER(SEARCH("income", Budget3[[#This Row],[Category]])), "Income", "")</f>
        <v/>
      </c>
    </row>
    <row r="601" spans="1:9" x14ac:dyDescent="0.45">
      <c r="A601">
        <f>MONTH(Budget3[[#This Row],[Date]])</f>
        <v>1</v>
      </c>
      <c r="G601" s="2" t="e">
        <f>SUM(G600+Budget3[[#This Row],[Income]]-Budget3[[#This Row],[Credit]])</f>
        <v>#REF!</v>
      </c>
      <c r="H601" s="2" t="str">
        <f>TEXT(Budget3[[#This Row],[Date]], "mmm")</f>
        <v>Jan</v>
      </c>
      <c r="I601" s="2" t="str">
        <f>IF(ISNUMBER(SEARCH("income", Budget3[[#This Row],[Category]])), "Income", "")</f>
        <v/>
      </c>
    </row>
    <row r="602" spans="1:9" x14ac:dyDescent="0.45">
      <c r="A602">
        <f>MONTH(Budget3[[#This Row],[Date]])</f>
        <v>1</v>
      </c>
      <c r="G602" s="2" t="e">
        <f>SUM(G601+Budget3[[#This Row],[Income]]-Budget3[[#This Row],[Credit]])</f>
        <v>#REF!</v>
      </c>
      <c r="H602" s="2" t="str">
        <f>TEXT(Budget3[[#This Row],[Date]], "mmm")</f>
        <v>Jan</v>
      </c>
      <c r="I602" s="2" t="str">
        <f>IF(ISNUMBER(SEARCH("income", Budget3[[#This Row],[Category]])), "Income", "")</f>
        <v/>
      </c>
    </row>
    <row r="603" spans="1:9" x14ac:dyDescent="0.45">
      <c r="A603">
        <f>MONTH(Budget3[[#This Row],[Date]])</f>
        <v>1</v>
      </c>
      <c r="G603" s="2" t="e">
        <f>SUM(G602+Budget3[[#This Row],[Income]]-Budget3[[#This Row],[Credit]])</f>
        <v>#REF!</v>
      </c>
      <c r="H603" s="2" t="str">
        <f>TEXT(Budget3[[#This Row],[Date]], "mmm")</f>
        <v>Jan</v>
      </c>
      <c r="I603" s="2" t="str">
        <f>IF(ISNUMBER(SEARCH("income", Budget3[[#This Row],[Category]])), "Income", "")</f>
        <v/>
      </c>
    </row>
    <row r="604" spans="1:9" x14ac:dyDescent="0.45">
      <c r="A604">
        <f>MONTH(Budget3[[#This Row],[Date]])</f>
        <v>1</v>
      </c>
      <c r="G604" s="2" t="e">
        <f>SUM(G603+Budget3[[#This Row],[Income]]-Budget3[[#This Row],[Credit]])</f>
        <v>#REF!</v>
      </c>
      <c r="H604" s="2" t="str">
        <f>TEXT(Budget3[[#This Row],[Date]], "mmm")</f>
        <v>Jan</v>
      </c>
      <c r="I604" s="2" t="str">
        <f>IF(ISNUMBER(SEARCH("income", Budget3[[#This Row],[Category]])), "Income", "")</f>
        <v/>
      </c>
    </row>
    <row r="605" spans="1:9" x14ac:dyDescent="0.45">
      <c r="A605">
        <f>MONTH(Budget3[[#This Row],[Date]])</f>
        <v>1</v>
      </c>
      <c r="G605" s="2" t="e">
        <f>SUM(G604+Budget3[[#This Row],[Income]]-Budget3[[#This Row],[Credit]])</f>
        <v>#REF!</v>
      </c>
      <c r="H605" s="2" t="str">
        <f>TEXT(Budget3[[#This Row],[Date]], "mmm")</f>
        <v>Jan</v>
      </c>
      <c r="I605" s="2" t="str">
        <f>IF(ISNUMBER(SEARCH("income", Budget3[[#This Row],[Category]])), "Income", "")</f>
        <v/>
      </c>
    </row>
    <row r="606" spans="1:9" x14ac:dyDescent="0.45">
      <c r="A606">
        <f>MONTH(Budget3[[#This Row],[Date]])</f>
        <v>1</v>
      </c>
      <c r="G606" s="2" t="e">
        <f>SUM(G605+Budget3[[#This Row],[Income]]-Budget3[[#This Row],[Credit]])</f>
        <v>#REF!</v>
      </c>
      <c r="H606" s="2" t="str">
        <f>TEXT(Budget3[[#This Row],[Date]], "mmm")</f>
        <v>Jan</v>
      </c>
      <c r="I606" s="2" t="str">
        <f>IF(ISNUMBER(SEARCH("income", Budget3[[#This Row],[Category]])), "Income", "")</f>
        <v/>
      </c>
    </row>
    <row r="607" spans="1:9" x14ac:dyDescent="0.45">
      <c r="A607">
        <f>MONTH(Budget3[[#This Row],[Date]])</f>
        <v>1</v>
      </c>
      <c r="G607" s="2" t="e">
        <f>SUM(G606+Budget3[[#This Row],[Income]]-Budget3[[#This Row],[Credit]])</f>
        <v>#REF!</v>
      </c>
      <c r="H607" s="2" t="str">
        <f>TEXT(Budget3[[#This Row],[Date]], "mmm")</f>
        <v>Jan</v>
      </c>
      <c r="I607" s="2" t="str">
        <f>IF(ISNUMBER(SEARCH("income", Budget3[[#This Row],[Category]])), "Income", "")</f>
        <v/>
      </c>
    </row>
    <row r="608" spans="1:9" x14ac:dyDescent="0.45">
      <c r="A608">
        <f>MONTH(Budget3[[#This Row],[Date]])</f>
        <v>1</v>
      </c>
      <c r="G608" s="2" t="e">
        <f>SUM(G607+Budget3[[#This Row],[Income]]-Budget3[[#This Row],[Credit]])</f>
        <v>#REF!</v>
      </c>
      <c r="H608" s="2" t="str">
        <f>TEXT(Budget3[[#This Row],[Date]], "mmm")</f>
        <v>Jan</v>
      </c>
      <c r="I608" s="2" t="str">
        <f>IF(ISNUMBER(SEARCH("income", Budget3[[#This Row],[Category]])), "Income", "")</f>
        <v/>
      </c>
    </row>
    <row r="609" spans="1:9" x14ac:dyDescent="0.45">
      <c r="A609">
        <f>MONTH(Budget3[[#This Row],[Date]])</f>
        <v>1</v>
      </c>
      <c r="G609" s="2" t="e">
        <f>SUM(G608+Budget3[[#This Row],[Income]]-Budget3[[#This Row],[Credit]])</f>
        <v>#REF!</v>
      </c>
      <c r="H609" s="2" t="str">
        <f>TEXT(Budget3[[#This Row],[Date]], "mmm")</f>
        <v>Jan</v>
      </c>
      <c r="I609" s="2" t="str">
        <f>IF(ISNUMBER(SEARCH("income", Budget3[[#This Row],[Category]])), "Income", "")</f>
        <v/>
      </c>
    </row>
    <row r="610" spans="1:9" x14ac:dyDescent="0.45">
      <c r="A610">
        <f>MONTH(Budget3[[#This Row],[Date]])</f>
        <v>1</v>
      </c>
      <c r="G610" s="2" t="e">
        <f>SUM(G609+Budget3[[#This Row],[Income]]-Budget3[[#This Row],[Credit]])</f>
        <v>#REF!</v>
      </c>
      <c r="H610" s="2" t="str">
        <f>TEXT(Budget3[[#This Row],[Date]], "mmm")</f>
        <v>Jan</v>
      </c>
      <c r="I610" s="2" t="str">
        <f>IF(ISNUMBER(SEARCH("income", Budget3[[#This Row],[Category]])), "Income", "")</f>
        <v/>
      </c>
    </row>
    <row r="611" spans="1:9" x14ac:dyDescent="0.45">
      <c r="A611">
        <f>MONTH(Budget3[[#This Row],[Date]])</f>
        <v>1</v>
      </c>
      <c r="G611" s="2" t="e">
        <f>SUM(G610+Budget3[[#This Row],[Income]]-Budget3[[#This Row],[Credit]])</f>
        <v>#REF!</v>
      </c>
      <c r="H611" s="2" t="str">
        <f>TEXT(Budget3[[#This Row],[Date]], "mmm")</f>
        <v>Jan</v>
      </c>
      <c r="I611" s="2" t="str">
        <f>IF(ISNUMBER(SEARCH("income", Budget3[[#This Row],[Category]])), "Income", "")</f>
        <v/>
      </c>
    </row>
    <row r="612" spans="1:9" x14ac:dyDescent="0.45">
      <c r="A612">
        <f>MONTH(Budget3[[#This Row],[Date]])</f>
        <v>1</v>
      </c>
      <c r="G612" s="2" t="e">
        <f>SUM(G611+Budget3[[#This Row],[Income]]-Budget3[[#This Row],[Credit]])</f>
        <v>#REF!</v>
      </c>
      <c r="H612" s="2" t="str">
        <f>TEXT(Budget3[[#This Row],[Date]], "mmm")</f>
        <v>Jan</v>
      </c>
      <c r="I612" s="2" t="str">
        <f>IF(ISNUMBER(SEARCH("income", Budget3[[#This Row],[Category]])), "Income", "")</f>
        <v/>
      </c>
    </row>
    <row r="613" spans="1:9" x14ac:dyDescent="0.45">
      <c r="A613">
        <f>MONTH(Budget3[[#This Row],[Date]])</f>
        <v>1</v>
      </c>
      <c r="G613" s="2" t="e">
        <f>SUM(G612+Budget3[[#This Row],[Income]]-Budget3[[#This Row],[Credit]])</f>
        <v>#REF!</v>
      </c>
      <c r="H613" s="2" t="str">
        <f>TEXT(Budget3[[#This Row],[Date]], "mmm")</f>
        <v>Jan</v>
      </c>
      <c r="I613" s="2" t="str">
        <f>IF(ISNUMBER(SEARCH("income", Budget3[[#This Row],[Category]])), "Income", "")</f>
        <v/>
      </c>
    </row>
    <row r="614" spans="1:9" x14ac:dyDescent="0.45">
      <c r="A614">
        <f>MONTH(Budget3[[#This Row],[Date]])</f>
        <v>1</v>
      </c>
      <c r="G614" s="2" t="e">
        <f>SUM(G613+Budget3[[#This Row],[Income]]-Budget3[[#This Row],[Credit]])</f>
        <v>#REF!</v>
      </c>
      <c r="H614" s="2" t="str">
        <f>TEXT(Budget3[[#This Row],[Date]], "mmm")</f>
        <v>Jan</v>
      </c>
      <c r="I614" s="2" t="str">
        <f>IF(ISNUMBER(SEARCH("income", Budget3[[#This Row],[Category]])), "Income", "")</f>
        <v/>
      </c>
    </row>
    <row r="615" spans="1:9" x14ac:dyDescent="0.45">
      <c r="A615">
        <f>MONTH(Budget3[[#This Row],[Date]])</f>
        <v>1</v>
      </c>
      <c r="G615" s="2" t="e">
        <f>SUM(G614+Budget3[[#This Row],[Income]]-Budget3[[#This Row],[Credit]])</f>
        <v>#REF!</v>
      </c>
      <c r="H615" s="2" t="str">
        <f>TEXT(Budget3[[#This Row],[Date]], "mmm")</f>
        <v>Jan</v>
      </c>
      <c r="I615" s="2" t="str">
        <f>IF(ISNUMBER(SEARCH("income", Budget3[[#This Row],[Category]])), "Income", "")</f>
        <v/>
      </c>
    </row>
    <row r="616" spans="1:9" x14ac:dyDescent="0.45">
      <c r="A616">
        <f>MONTH(Budget3[[#This Row],[Date]])</f>
        <v>1</v>
      </c>
      <c r="G616" s="2" t="e">
        <f>SUM(G615+Budget3[[#This Row],[Income]]-Budget3[[#This Row],[Credit]])</f>
        <v>#REF!</v>
      </c>
      <c r="H616" s="2" t="str">
        <f>TEXT(Budget3[[#This Row],[Date]], "mmm")</f>
        <v>Jan</v>
      </c>
      <c r="I616" s="2" t="str">
        <f>IF(ISNUMBER(SEARCH("income", Budget3[[#This Row],[Category]])), "Income", "")</f>
        <v/>
      </c>
    </row>
    <row r="617" spans="1:9" x14ac:dyDescent="0.45">
      <c r="A617">
        <f>MONTH(Budget3[[#This Row],[Date]])</f>
        <v>1</v>
      </c>
      <c r="G617" s="2" t="e">
        <f>SUM(G616+Budget3[[#This Row],[Income]]-Budget3[[#This Row],[Credit]])</f>
        <v>#REF!</v>
      </c>
      <c r="H617" s="2" t="str">
        <f>TEXT(Budget3[[#This Row],[Date]], "mmm")</f>
        <v>Jan</v>
      </c>
      <c r="I617" s="2" t="str">
        <f>IF(ISNUMBER(SEARCH("income", Budget3[[#This Row],[Category]])), "Income", "")</f>
        <v/>
      </c>
    </row>
    <row r="618" spans="1:9" x14ac:dyDescent="0.45">
      <c r="A618">
        <f>MONTH(Budget3[[#This Row],[Date]])</f>
        <v>1</v>
      </c>
      <c r="G618" s="2" t="e">
        <f>SUM(G617+Budget3[[#This Row],[Income]]-Budget3[[#This Row],[Credit]])</f>
        <v>#REF!</v>
      </c>
      <c r="H618" s="2" t="str">
        <f>TEXT(Budget3[[#This Row],[Date]], "mmm")</f>
        <v>Jan</v>
      </c>
      <c r="I618" s="2" t="str">
        <f>IF(ISNUMBER(SEARCH("income", Budget3[[#This Row],[Category]])), "Income", "")</f>
        <v/>
      </c>
    </row>
    <row r="619" spans="1:9" x14ac:dyDescent="0.45">
      <c r="A619">
        <f>MONTH(Budget3[[#This Row],[Date]])</f>
        <v>1</v>
      </c>
      <c r="G619" s="2" t="e">
        <f>SUM(G618+Budget3[[#This Row],[Income]]-Budget3[[#This Row],[Credit]])</f>
        <v>#REF!</v>
      </c>
      <c r="H619" s="2" t="str">
        <f>TEXT(Budget3[[#This Row],[Date]], "mmm")</f>
        <v>Jan</v>
      </c>
      <c r="I619" s="2" t="str">
        <f>IF(ISNUMBER(SEARCH("income", Budget3[[#This Row],[Category]])), "Income", "")</f>
        <v/>
      </c>
    </row>
    <row r="620" spans="1:9" x14ac:dyDescent="0.45">
      <c r="A620">
        <f>MONTH(Budget3[[#This Row],[Date]])</f>
        <v>1</v>
      </c>
      <c r="G620" s="2" t="e">
        <f>SUM(G619+Budget3[[#This Row],[Income]]-Budget3[[#This Row],[Credit]])</f>
        <v>#REF!</v>
      </c>
      <c r="H620" s="2" t="str">
        <f>TEXT(Budget3[[#This Row],[Date]], "mmm")</f>
        <v>Jan</v>
      </c>
      <c r="I620" s="2" t="str">
        <f>IF(ISNUMBER(SEARCH("income", Budget3[[#This Row],[Category]])), "Income", "")</f>
        <v/>
      </c>
    </row>
    <row r="621" spans="1:9" x14ac:dyDescent="0.45">
      <c r="A621">
        <f>MONTH(Budget3[[#This Row],[Date]])</f>
        <v>1</v>
      </c>
      <c r="G621" s="2" t="e">
        <f>SUM(G620+Budget3[[#This Row],[Income]]-Budget3[[#This Row],[Credit]])</f>
        <v>#REF!</v>
      </c>
      <c r="H621" s="2" t="str">
        <f>TEXT(Budget3[[#This Row],[Date]], "mmm")</f>
        <v>Jan</v>
      </c>
      <c r="I621" s="2" t="str">
        <f>IF(ISNUMBER(SEARCH("income", Budget3[[#This Row],[Category]])), "Income", "")</f>
        <v/>
      </c>
    </row>
    <row r="622" spans="1:9" x14ac:dyDescent="0.45">
      <c r="A622">
        <f>MONTH(Budget3[[#This Row],[Date]])</f>
        <v>1</v>
      </c>
      <c r="G622" s="2" t="e">
        <f>SUM(G621+Budget3[[#This Row],[Income]]-Budget3[[#This Row],[Credit]])</f>
        <v>#REF!</v>
      </c>
      <c r="H622" s="2" t="str">
        <f>TEXT(Budget3[[#This Row],[Date]], "mmm")</f>
        <v>Jan</v>
      </c>
      <c r="I622" s="2" t="str">
        <f>IF(ISNUMBER(SEARCH("income", Budget3[[#This Row],[Category]])), "Income", "")</f>
        <v/>
      </c>
    </row>
    <row r="623" spans="1:9" x14ac:dyDescent="0.45">
      <c r="A623">
        <f>MONTH(Budget3[[#This Row],[Date]])</f>
        <v>1</v>
      </c>
      <c r="G623" s="2" t="e">
        <f>SUM(G622+Budget3[[#This Row],[Income]]-Budget3[[#This Row],[Credit]])</f>
        <v>#REF!</v>
      </c>
      <c r="H623" s="2" t="str">
        <f>TEXT(Budget3[[#This Row],[Date]], "mmm")</f>
        <v>Jan</v>
      </c>
      <c r="I623" s="2" t="str">
        <f>IF(ISNUMBER(SEARCH("income", Budget3[[#This Row],[Category]])), "Income", "")</f>
        <v/>
      </c>
    </row>
    <row r="624" spans="1:9" x14ac:dyDescent="0.45">
      <c r="A624">
        <f>MONTH(Budget3[[#This Row],[Date]])</f>
        <v>1</v>
      </c>
      <c r="G624" s="2" t="e">
        <f>SUM(G623+Budget3[[#This Row],[Income]]-Budget3[[#This Row],[Credit]])</f>
        <v>#REF!</v>
      </c>
      <c r="H624" s="2" t="str">
        <f>TEXT(Budget3[[#This Row],[Date]], "mmm")</f>
        <v>Jan</v>
      </c>
      <c r="I624" s="2" t="str">
        <f>IF(ISNUMBER(SEARCH("income", Budget3[[#This Row],[Category]])), "Income", "")</f>
        <v/>
      </c>
    </row>
    <row r="625" spans="1:9" x14ac:dyDescent="0.45">
      <c r="A625">
        <f>MONTH(Budget3[[#This Row],[Date]])</f>
        <v>1</v>
      </c>
      <c r="G625" s="2" t="e">
        <f>SUM(G624+Budget3[[#This Row],[Income]]-Budget3[[#This Row],[Credit]])</f>
        <v>#REF!</v>
      </c>
      <c r="H625" s="2" t="str">
        <f>TEXT(Budget3[[#This Row],[Date]], "mmm")</f>
        <v>Jan</v>
      </c>
      <c r="I625" s="2" t="str">
        <f>IF(ISNUMBER(SEARCH("income", Budget3[[#This Row],[Category]])), "Income", "")</f>
        <v/>
      </c>
    </row>
    <row r="626" spans="1:9" x14ac:dyDescent="0.45">
      <c r="A626">
        <f>MONTH(Budget3[[#This Row],[Date]])</f>
        <v>1</v>
      </c>
      <c r="G626" s="2" t="e">
        <f>SUM(G625+Budget3[[#This Row],[Income]]-Budget3[[#This Row],[Credit]])</f>
        <v>#REF!</v>
      </c>
      <c r="H626" s="2" t="str">
        <f>TEXT(Budget3[[#This Row],[Date]], "mmm")</f>
        <v>Jan</v>
      </c>
      <c r="I626" s="2" t="str">
        <f>IF(ISNUMBER(SEARCH("income", Budget3[[#This Row],[Category]])), "Income", "")</f>
        <v/>
      </c>
    </row>
    <row r="627" spans="1:9" x14ac:dyDescent="0.45">
      <c r="A627">
        <f>MONTH(Budget3[[#This Row],[Date]])</f>
        <v>1</v>
      </c>
      <c r="G627" s="2" t="e">
        <f>SUM(G626+Budget3[[#This Row],[Income]]-Budget3[[#This Row],[Credit]])</f>
        <v>#REF!</v>
      </c>
      <c r="H627" s="2" t="str">
        <f>TEXT(Budget3[[#This Row],[Date]], "mmm")</f>
        <v>Jan</v>
      </c>
      <c r="I627" s="2" t="str">
        <f>IF(ISNUMBER(SEARCH("income", Budget3[[#This Row],[Category]])), "Income", "")</f>
        <v/>
      </c>
    </row>
    <row r="628" spans="1:9" x14ac:dyDescent="0.45">
      <c r="A628">
        <f>MONTH(Budget3[[#This Row],[Date]])</f>
        <v>1</v>
      </c>
      <c r="G628" s="2" t="e">
        <f>SUM(G627+Budget3[[#This Row],[Income]]-Budget3[[#This Row],[Credit]])</f>
        <v>#REF!</v>
      </c>
      <c r="H628" s="2" t="str">
        <f>TEXT(Budget3[[#This Row],[Date]], "mmm")</f>
        <v>Jan</v>
      </c>
      <c r="I628" s="2" t="str">
        <f>IF(ISNUMBER(SEARCH("income", Budget3[[#This Row],[Category]])), "Income", "")</f>
        <v/>
      </c>
    </row>
    <row r="629" spans="1:9" x14ac:dyDescent="0.45">
      <c r="A629">
        <f>MONTH(Budget3[[#This Row],[Date]])</f>
        <v>1</v>
      </c>
      <c r="G629" s="2" t="e">
        <f>SUM(G628+Budget3[[#This Row],[Income]]-Budget3[[#This Row],[Credit]])</f>
        <v>#REF!</v>
      </c>
      <c r="H629" s="2" t="str">
        <f>TEXT(Budget3[[#This Row],[Date]], "mmm")</f>
        <v>Jan</v>
      </c>
      <c r="I629" s="2" t="str">
        <f>IF(ISNUMBER(SEARCH("income", Budget3[[#This Row],[Category]])), "Income", "")</f>
        <v/>
      </c>
    </row>
    <row r="630" spans="1:9" x14ac:dyDescent="0.45">
      <c r="A630">
        <f>MONTH(Budget3[[#This Row],[Date]])</f>
        <v>1</v>
      </c>
      <c r="G630" s="2" t="e">
        <f>SUM(G629+Budget3[[#This Row],[Income]]-Budget3[[#This Row],[Credit]])</f>
        <v>#REF!</v>
      </c>
      <c r="H630" s="2" t="str">
        <f>TEXT(Budget3[[#This Row],[Date]], "mmm")</f>
        <v>Jan</v>
      </c>
      <c r="I630" s="2" t="str">
        <f>IF(ISNUMBER(SEARCH("income", Budget3[[#This Row],[Category]])), "Income", "")</f>
        <v/>
      </c>
    </row>
    <row r="631" spans="1:9" x14ac:dyDescent="0.45">
      <c r="A631">
        <f>MONTH(Budget3[[#This Row],[Date]])</f>
        <v>1</v>
      </c>
      <c r="G631" s="2" t="e">
        <f>SUM(G630+Budget3[[#This Row],[Income]]-Budget3[[#This Row],[Credit]])</f>
        <v>#REF!</v>
      </c>
      <c r="H631" s="2" t="str">
        <f>TEXT(Budget3[[#This Row],[Date]], "mmm")</f>
        <v>Jan</v>
      </c>
      <c r="I631" s="2" t="str">
        <f>IF(ISNUMBER(SEARCH("income", Budget3[[#This Row],[Category]])), "Income", "")</f>
        <v/>
      </c>
    </row>
    <row r="632" spans="1:9" x14ac:dyDescent="0.45">
      <c r="A632">
        <f>MONTH(Budget3[[#This Row],[Date]])</f>
        <v>1</v>
      </c>
      <c r="G632" s="2" t="e">
        <f>SUM(G631+Budget3[[#This Row],[Income]]-Budget3[[#This Row],[Credit]])</f>
        <v>#REF!</v>
      </c>
      <c r="H632" s="2" t="str">
        <f>TEXT(Budget3[[#This Row],[Date]], "mmm")</f>
        <v>Jan</v>
      </c>
      <c r="I632" s="2" t="str">
        <f>IF(ISNUMBER(SEARCH("income", Budget3[[#This Row],[Category]])), "Income", "")</f>
        <v/>
      </c>
    </row>
    <row r="633" spans="1:9" x14ac:dyDescent="0.45">
      <c r="A633">
        <f>MONTH(Budget3[[#This Row],[Date]])</f>
        <v>1</v>
      </c>
      <c r="G633" s="2" t="e">
        <f>SUM(G632+Budget3[[#This Row],[Income]]-Budget3[[#This Row],[Credit]])</f>
        <v>#REF!</v>
      </c>
      <c r="H633" s="2" t="str">
        <f>TEXT(Budget3[[#This Row],[Date]], "mmm")</f>
        <v>Jan</v>
      </c>
      <c r="I633" s="2" t="str">
        <f>IF(ISNUMBER(SEARCH("income", Budget3[[#This Row],[Category]])), "Income", "")</f>
        <v/>
      </c>
    </row>
    <row r="634" spans="1:9" x14ac:dyDescent="0.45">
      <c r="A634">
        <f>MONTH(Budget3[[#This Row],[Date]])</f>
        <v>1</v>
      </c>
      <c r="G634" s="2" t="e">
        <f>SUM(G633+Budget3[[#This Row],[Income]]-Budget3[[#This Row],[Credit]])</f>
        <v>#REF!</v>
      </c>
      <c r="H634" s="2" t="str">
        <f>TEXT(Budget3[[#This Row],[Date]], "mmm")</f>
        <v>Jan</v>
      </c>
      <c r="I634" s="2" t="str">
        <f>IF(ISNUMBER(SEARCH("income", Budget3[[#This Row],[Category]])), "Income", "")</f>
        <v/>
      </c>
    </row>
    <row r="635" spans="1:9" x14ac:dyDescent="0.45">
      <c r="A635">
        <f>MONTH(Budget3[[#This Row],[Date]])</f>
        <v>1</v>
      </c>
      <c r="G635" s="2" t="e">
        <f>SUM(G634+Budget3[[#This Row],[Income]]-Budget3[[#This Row],[Credit]])</f>
        <v>#REF!</v>
      </c>
      <c r="H635" s="2" t="str">
        <f>TEXT(Budget3[[#This Row],[Date]], "mmm")</f>
        <v>Jan</v>
      </c>
      <c r="I635" s="2" t="str">
        <f>IF(ISNUMBER(SEARCH("income", Budget3[[#This Row],[Category]])), "Income", "")</f>
        <v/>
      </c>
    </row>
    <row r="636" spans="1:9" x14ac:dyDescent="0.45">
      <c r="A636">
        <f>MONTH(Budget3[[#This Row],[Date]])</f>
        <v>1</v>
      </c>
      <c r="G636" s="2" t="e">
        <f>SUM(G635+Budget3[[#This Row],[Income]]-Budget3[[#This Row],[Credit]])</f>
        <v>#REF!</v>
      </c>
      <c r="H636" s="2" t="str">
        <f>TEXT(Budget3[[#This Row],[Date]], "mmm")</f>
        <v>Jan</v>
      </c>
      <c r="I636" s="2" t="str">
        <f>IF(ISNUMBER(SEARCH("income", Budget3[[#This Row],[Category]])), "Income", "")</f>
        <v/>
      </c>
    </row>
    <row r="637" spans="1:9" x14ac:dyDescent="0.45">
      <c r="A637">
        <f>MONTH(Budget3[[#This Row],[Date]])</f>
        <v>1</v>
      </c>
      <c r="G637" s="2" t="e">
        <f>SUM(G636+Budget3[[#This Row],[Income]]-Budget3[[#This Row],[Credit]])</f>
        <v>#REF!</v>
      </c>
      <c r="H637" s="2" t="str">
        <f>TEXT(Budget3[[#This Row],[Date]], "mmm")</f>
        <v>Jan</v>
      </c>
      <c r="I637" s="2" t="str">
        <f>IF(ISNUMBER(SEARCH("income", Budget3[[#This Row],[Category]])), "Income", "")</f>
        <v/>
      </c>
    </row>
    <row r="638" spans="1:9" x14ac:dyDescent="0.45">
      <c r="A638">
        <f>MONTH(Budget3[[#This Row],[Date]])</f>
        <v>1</v>
      </c>
      <c r="G638" s="2" t="e">
        <f>SUM(G637+Budget3[[#This Row],[Income]]-Budget3[[#This Row],[Credit]])</f>
        <v>#REF!</v>
      </c>
      <c r="H638" s="2" t="str">
        <f>TEXT(Budget3[[#This Row],[Date]], "mmm")</f>
        <v>Jan</v>
      </c>
      <c r="I638" s="2" t="str">
        <f>IF(ISNUMBER(SEARCH("income", Budget3[[#This Row],[Category]])), "Income", "")</f>
        <v/>
      </c>
    </row>
    <row r="639" spans="1:9" x14ac:dyDescent="0.45">
      <c r="A639">
        <f>MONTH(Budget3[[#This Row],[Date]])</f>
        <v>1</v>
      </c>
      <c r="G639" s="2" t="e">
        <f>SUM(G638+Budget3[[#This Row],[Income]]-Budget3[[#This Row],[Credit]])</f>
        <v>#REF!</v>
      </c>
      <c r="H639" s="2" t="str">
        <f>TEXT(Budget3[[#This Row],[Date]], "mmm")</f>
        <v>Jan</v>
      </c>
      <c r="I639" s="2" t="str">
        <f>IF(ISNUMBER(SEARCH("income", Budget3[[#This Row],[Category]])), "Income", "")</f>
        <v/>
      </c>
    </row>
    <row r="640" spans="1:9" x14ac:dyDescent="0.45">
      <c r="A640">
        <f>MONTH(Budget3[[#This Row],[Date]])</f>
        <v>1</v>
      </c>
      <c r="G640" s="2" t="e">
        <f>SUM(G639+Budget3[[#This Row],[Income]]-Budget3[[#This Row],[Credit]])</f>
        <v>#REF!</v>
      </c>
      <c r="H640" s="2" t="str">
        <f>TEXT(Budget3[[#This Row],[Date]], "mmm")</f>
        <v>Jan</v>
      </c>
      <c r="I640" s="2" t="str">
        <f>IF(ISNUMBER(SEARCH("income", Budget3[[#This Row],[Category]])), "Income", "")</f>
        <v/>
      </c>
    </row>
    <row r="641" spans="1:9" x14ac:dyDescent="0.45">
      <c r="A641">
        <f>MONTH(Budget3[[#This Row],[Date]])</f>
        <v>1</v>
      </c>
      <c r="G641" s="2" t="e">
        <f>SUM(G640+Budget3[[#This Row],[Income]]-Budget3[[#This Row],[Credit]])</f>
        <v>#REF!</v>
      </c>
      <c r="H641" s="2" t="str">
        <f>TEXT(Budget3[[#This Row],[Date]], "mmm")</f>
        <v>Jan</v>
      </c>
      <c r="I641" s="2" t="str">
        <f>IF(ISNUMBER(SEARCH("income", Budget3[[#This Row],[Category]])), "Income", "")</f>
        <v/>
      </c>
    </row>
    <row r="642" spans="1:9" x14ac:dyDescent="0.45">
      <c r="A642">
        <f>MONTH(Budget3[[#This Row],[Date]])</f>
        <v>1</v>
      </c>
      <c r="G642" s="2" t="e">
        <f>SUM(G641+Budget3[[#This Row],[Income]]-Budget3[[#This Row],[Credit]])</f>
        <v>#REF!</v>
      </c>
      <c r="H642" s="2" t="str">
        <f>TEXT(Budget3[[#This Row],[Date]], "mmm")</f>
        <v>Jan</v>
      </c>
      <c r="I642" s="2" t="str">
        <f>IF(ISNUMBER(SEARCH("income", Budget3[[#This Row],[Category]])), "Income", "")</f>
        <v/>
      </c>
    </row>
    <row r="643" spans="1:9" x14ac:dyDescent="0.45">
      <c r="A643">
        <f>MONTH(Budget3[[#This Row],[Date]])</f>
        <v>1</v>
      </c>
      <c r="G643" s="2" t="e">
        <f>SUM(G642+Budget3[[#This Row],[Income]]-Budget3[[#This Row],[Credit]])</f>
        <v>#REF!</v>
      </c>
      <c r="H643" s="2" t="str">
        <f>TEXT(Budget3[[#This Row],[Date]], "mmm")</f>
        <v>Jan</v>
      </c>
      <c r="I643" s="2" t="str">
        <f>IF(ISNUMBER(SEARCH("income", Budget3[[#This Row],[Category]])), "Income", "")</f>
        <v/>
      </c>
    </row>
    <row r="644" spans="1:9" x14ac:dyDescent="0.45">
      <c r="A644">
        <f>MONTH(Budget3[[#This Row],[Date]])</f>
        <v>1</v>
      </c>
      <c r="G644" s="2" t="e">
        <f>SUM(G643+Budget3[[#This Row],[Income]]-Budget3[[#This Row],[Credit]])</f>
        <v>#REF!</v>
      </c>
      <c r="H644" s="2" t="str">
        <f>TEXT(Budget3[[#This Row],[Date]], "mmm")</f>
        <v>Jan</v>
      </c>
      <c r="I644" s="2" t="str">
        <f>IF(ISNUMBER(SEARCH("income", Budget3[[#This Row],[Category]])), "Income", "")</f>
        <v/>
      </c>
    </row>
    <row r="645" spans="1:9" x14ac:dyDescent="0.45">
      <c r="A645">
        <f>MONTH(Budget3[[#This Row],[Date]])</f>
        <v>1</v>
      </c>
      <c r="G645" s="2" t="e">
        <f>SUM(G644+Budget3[[#This Row],[Income]]-Budget3[[#This Row],[Credit]])</f>
        <v>#REF!</v>
      </c>
      <c r="H645" s="2" t="str">
        <f>TEXT(Budget3[[#This Row],[Date]], "mmm")</f>
        <v>Jan</v>
      </c>
      <c r="I645" s="2" t="str">
        <f>IF(ISNUMBER(SEARCH("income", Budget3[[#This Row],[Category]])), "Income", "")</f>
        <v/>
      </c>
    </row>
    <row r="646" spans="1:9" x14ac:dyDescent="0.45">
      <c r="A646">
        <f>MONTH(Budget3[[#This Row],[Date]])</f>
        <v>1</v>
      </c>
      <c r="G646" s="2" t="e">
        <f>SUM(G645+Budget3[[#This Row],[Income]]-Budget3[[#This Row],[Credit]])</f>
        <v>#REF!</v>
      </c>
      <c r="H646" s="2" t="str">
        <f>TEXT(Budget3[[#This Row],[Date]], "mmm")</f>
        <v>Jan</v>
      </c>
      <c r="I646" s="2" t="str">
        <f>IF(ISNUMBER(SEARCH("income", Budget3[[#This Row],[Category]])), "Income", "")</f>
        <v/>
      </c>
    </row>
    <row r="647" spans="1:9" x14ac:dyDescent="0.45">
      <c r="A647">
        <f>MONTH(Budget3[[#This Row],[Date]])</f>
        <v>1</v>
      </c>
      <c r="G647" s="2" t="e">
        <f>SUM(G646+Budget3[[#This Row],[Income]]-Budget3[[#This Row],[Credit]])</f>
        <v>#REF!</v>
      </c>
      <c r="H647" s="2" t="str">
        <f>TEXT(Budget3[[#This Row],[Date]], "mmm")</f>
        <v>Jan</v>
      </c>
      <c r="I647" s="2" t="str">
        <f>IF(ISNUMBER(SEARCH("income", Budget3[[#This Row],[Category]])), "Income", "")</f>
        <v/>
      </c>
    </row>
    <row r="648" spans="1:9" x14ac:dyDescent="0.45">
      <c r="A648">
        <f>MONTH(Budget3[[#This Row],[Date]])</f>
        <v>1</v>
      </c>
      <c r="G648" s="2" t="e">
        <f>SUM(G647+Budget3[[#This Row],[Income]]-Budget3[[#This Row],[Credit]])</f>
        <v>#REF!</v>
      </c>
      <c r="H648" s="2" t="str">
        <f>TEXT(Budget3[[#This Row],[Date]], "mmm")</f>
        <v>Jan</v>
      </c>
      <c r="I648" s="2" t="str">
        <f>IF(ISNUMBER(SEARCH("income", Budget3[[#This Row],[Category]])), "Income", "")</f>
        <v/>
      </c>
    </row>
    <row r="649" spans="1:9" x14ac:dyDescent="0.45">
      <c r="A649">
        <f>MONTH(Budget3[[#This Row],[Date]])</f>
        <v>1</v>
      </c>
      <c r="G649" s="2" t="e">
        <f>SUM(G648+Budget3[[#This Row],[Income]]-Budget3[[#This Row],[Credit]])</f>
        <v>#REF!</v>
      </c>
      <c r="H649" s="2" t="str">
        <f>TEXT(Budget3[[#This Row],[Date]], "mmm")</f>
        <v>Jan</v>
      </c>
      <c r="I649" s="2" t="str">
        <f>IF(ISNUMBER(SEARCH("income", Budget3[[#This Row],[Category]])), "Income", "")</f>
        <v/>
      </c>
    </row>
    <row r="650" spans="1:9" x14ac:dyDescent="0.45">
      <c r="A650">
        <f>MONTH(Budget3[[#This Row],[Date]])</f>
        <v>1</v>
      </c>
      <c r="G650" s="2" t="e">
        <f>SUM(G649+Budget3[[#This Row],[Income]]-Budget3[[#This Row],[Credit]])</f>
        <v>#REF!</v>
      </c>
      <c r="H650" s="2" t="str">
        <f>TEXT(Budget3[[#This Row],[Date]], "mmm")</f>
        <v>Jan</v>
      </c>
      <c r="I650" s="2" t="str">
        <f>IF(ISNUMBER(SEARCH("income", Budget3[[#This Row],[Category]])), "Income", "")</f>
        <v/>
      </c>
    </row>
    <row r="651" spans="1:9" x14ac:dyDescent="0.45">
      <c r="A651">
        <f>MONTH(Budget3[[#This Row],[Date]])</f>
        <v>1</v>
      </c>
      <c r="G651" s="2" t="e">
        <f>SUM(G650+Budget3[[#This Row],[Income]]-Budget3[[#This Row],[Credit]])</f>
        <v>#REF!</v>
      </c>
      <c r="H651" s="2" t="str">
        <f>TEXT(Budget3[[#This Row],[Date]], "mmm")</f>
        <v>Jan</v>
      </c>
      <c r="I651" s="2" t="str">
        <f>IF(ISNUMBER(SEARCH("income", Budget3[[#This Row],[Category]])), "Income", "")</f>
        <v/>
      </c>
    </row>
    <row r="652" spans="1:9" x14ac:dyDescent="0.45">
      <c r="A652">
        <f>MONTH(Budget3[[#This Row],[Date]])</f>
        <v>1</v>
      </c>
      <c r="G652" s="2" t="e">
        <f>SUM(G651+Budget3[[#This Row],[Income]]-Budget3[[#This Row],[Credit]])</f>
        <v>#REF!</v>
      </c>
      <c r="H652" s="2" t="str">
        <f>TEXT(Budget3[[#This Row],[Date]], "mmm")</f>
        <v>Jan</v>
      </c>
      <c r="I652" s="2" t="str">
        <f>IF(ISNUMBER(SEARCH("income", Budget3[[#This Row],[Category]])), "Income", "")</f>
        <v/>
      </c>
    </row>
    <row r="653" spans="1:9" x14ac:dyDescent="0.45">
      <c r="A653">
        <f>MONTH(Budget3[[#This Row],[Date]])</f>
        <v>1</v>
      </c>
      <c r="G653" s="2" t="e">
        <f>SUM(G652+Budget3[[#This Row],[Income]]-Budget3[[#This Row],[Credit]])</f>
        <v>#REF!</v>
      </c>
      <c r="H653" s="2" t="str">
        <f>TEXT(Budget3[[#This Row],[Date]], "mmm")</f>
        <v>Jan</v>
      </c>
      <c r="I653" s="2" t="str">
        <f>IF(ISNUMBER(SEARCH("income", Budget3[[#This Row],[Category]])), "Income", "")</f>
        <v/>
      </c>
    </row>
    <row r="654" spans="1:9" x14ac:dyDescent="0.45">
      <c r="A654">
        <f>MONTH(Budget3[[#This Row],[Date]])</f>
        <v>1</v>
      </c>
      <c r="G654" s="2" t="e">
        <f>SUM(G653+Budget3[[#This Row],[Income]]-Budget3[[#This Row],[Credit]])</f>
        <v>#REF!</v>
      </c>
      <c r="H654" s="2" t="str">
        <f>TEXT(Budget3[[#This Row],[Date]], "mmm")</f>
        <v>Jan</v>
      </c>
      <c r="I654" s="2" t="str">
        <f>IF(ISNUMBER(SEARCH("income", Budget3[[#This Row],[Category]])), "Income", "")</f>
        <v/>
      </c>
    </row>
    <row r="655" spans="1:9" x14ac:dyDescent="0.45">
      <c r="A655">
        <f>MONTH(Budget3[[#This Row],[Date]])</f>
        <v>1</v>
      </c>
      <c r="G655" s="2" t="e">
        <f>SUM(G654+Budget3[[#This Row],[Income]]-Budget3[[#This Row],[Credit]])</f>
        <v>#REF!</v>
      </c>
      <c r="H655" s="2" t="str">
        <f>TEXT(Budget3[[#This Row],[Date]], "mmm")</f>
        <v>Jan</v>
      </c>
      <c r="I655" s="2" t="str">
        <f>IF(ISNUMBER(SEARCH("income", Budget3[[#This Row],[Category]])), "Income", "")</f>
        <v/>
      </c>
    </row>
    <row r="656" spans="1:9" x14ac:dyDescent="0.45">
      <c r="A656">
        <f>MONTH(Budget3[[#This Row],[Date]])</f>
        <v>1</v>
      </c>
      <c r="G656" s="2" t="e">
        <f>SUM(G655+Budget3[[#This Row],[Income]]-Budget3[[#This Row],[Credit]])</f>
        <v>#REF!</v>
      </c>
      <c r="H656" s="2" t="str">
        <f>TEXT(Budget3[[#This Row],[Date]], "mmm")</f>
        <v>Jan</v>
      </c>
      <c r="I656" s="2" t="str">
        <f>IF(ISNUMBER(SEARCH("income", Budget3[[#This Row],[Category]])), "Income", "")</f>
        <v/>
      </c>
    </row>
    <row r="657" spans="1:9" x14ac:dyDescent="0.45">
      <c r="A657">
        <f>MONTH(Budget3[[#This Row],[Date]])</f>
        <v>1</v>
      </c>
      <c r="G657" s="2" t="e">
        <f>SUM(G656+Budget3[[#This Row],[Income]]-Budget3[[#This Row],[Credit]])</f>
        <v>#REF!</v>
      </c>
      <c r="H657" s="2" t="str">
        <f>TEXT(Budget3[[#This Row],[Date]], "mmm")</f>
        <v>Jan</v>
      </c>
      <c r="I657" s="2" t="str">
        <f>IF(ISNUMBER(SEARCH("income", Budget3[[#This Row],[Category]])), "Income", "")</f>
        <v/>
      </c>
    </row>
    <row r="658" spans="1:9" x14ac:dyDescent="0.45">
      <c r="A658">
        <f>MONTH(Budget3[[#This Row],[Date]])</f>
        <v>1</v>
      </c>
      <c r="G658" s="2" t="e">
        <f>SUM(G657+Budget3[[#This Row],[Income]]-Budget3[[#This Row],[Credit]])</f>
        <v>#REF!</v>
      </c>
      <c r="H658" s="2" t="str">
        <f>TEXT(Budget3[[#This Row],[Date]], "mmm")</f>
        <v>Jan</v>
      </c>
      <c r="I658" s="2" t="str">
        <f>IF(ISNUMBER(SEARCH("income", Budget3[[#This Row],[Category]])), "Income", "")</f>
        <v/>
      </c>
    </row>
    <row r="659" spans="1:9" x14ac:dyDescent="0.45">
      <c r="A659">
        <f>MONTH(Budget3[[#This Row],[Date]])</f>
        <v>1</v>
      </c>
      <c r="G659" s="2" t="e">
        <f>SUM(G658+Budget3[[#This Row],[Income]]-Budget3[[#This Row],[Credit]])</f>
        <v>#REF!</v>
      </c>
      <c r="H659" s="2" t="str">
        <f>TEXT(Budget3[[#This Row],[Date]], "mmm")</f>
        <v>Jan</v>
      </c>
      <c r="I659" s="2" t="str">
        <f>IF(ISNUMBER(SEARCH("income", Budget3[[#This Row],[Category]])), "Income", "")</f>
        <v/>
      </c>
    </row>
    <row r="660" spans="1:9" x14ac:dyDescent="0.45">
      <c r="A660">
        <f>MONTH(Budget3[[#This Row],[Date]])</f>
        <v>1</v>
      </c>
      <c r="G660" s="2" t="e">
        <f>SUM(G659+Budget3[[#This Row],[Income]]-Budget3[[#This Row],[Credit]])</f>
        <v>#REF!</v>
      </c>
      <c r="H660" s="2" t="str">
        <f>TEXT(Budget3[[#This Row],[Date]], "mmm")</f>
        <v>Jan</v>
      </c>
      <c r="I660" s="2" t="str">
        <f>IF(ISNUMBER(SEARCH("income", Budget3[[#This Row],[Category]])), "Income", "")</f>
        <v/>
      </c>
    </row>
    <row r="661" spans="1:9" x14ac:dyDescent="0.45">
      <c r="A661">
        <f>MONTH(Budget3[[#This Row],[Date]])</f>
        <v>1</v>
      </c>
      <c r="G661" s="2" t="e">
        <f>SUM(G660+Budget3[[#This Row],[Income]]-Budget3[[#This Row],[Credit]])</f>
        <v>#REF!</v>
      </c>
      <c r="H661" s="2" t="str">
        <f>TEXT(Budget3[[#This Row],[Date]], "mmm")</f>
        <v>Jan</v>
      </c>
      <c r="I661" s="2" t="str">
        <f>IF(ISNUMBER(SEARCH("income", Budget3[[#This Row],[Category]])), "Income", "")</f>
        <v/>
      </c>
    </row>
    <row r="662" spans="1:9" x14ac:dyDescent="0.45">
      <c r="A662">
        <f>MONTH(Budget3[[#This Row],[Date]])</f>
        <v>1</v>
      </c>
      <c r="G662" s="2" t="e">
        <f>SUM(G661+Budget3[[#This Row],[Income]]-Budget3[[#This Row],[Credit]])</f>
        <v>#REF!</v>
      </c>
      <c r="H662" s="2" t="str">
        <f>TEXT(Budget3[[#This Row],[Date]], "mmm")</f>
        <v>Jan</v>
      </c>
      <c r="I662" s="2" t="str">
        <f>IF(ISNUMBER(SEARCH("income", Budget3[[#This Row],[Category]])), "Income", "")</f>
        <v/>
      </c>
    </row>
    <row r="663" spans="1:9" x14ac:dyDescent="0.45">
      <c r="A663">
        <f>MONTH(Budget3[[#This Row],[Date]])</f>
        <v>1</v>
      </c>
      <c r="G663" s="2" t="e">
        <f>SUM(G662+Budget3[[#This Row],[Income]]-Budget3[[#This Row],[Credit]])</f>
        <v>#REF!</v>
      </c>
      <c r="H663" s="2" t="str">
        <f>TEXT(Budget3[[#This Row],[Date]], "mmm")</f>
        <v>Jan</v>
      </c>
      <c r="I663" s="2" t="str">
        <f>IF(ISNUMBER(SEARCH("income", Budget3[[#This Row],[Category]])), "Income", "")</f>
        <v/>
      </c>
    </row>
    <row r="664" spans="1:9" x14ac:dyDescent="0.45">
      <c r="A664">
        <f>MONTH(Budget3[[#This Row],[Date]])</f>
        <v>1</v>
      </c>
      <c r="G664" s="2" t="e">
        <f>SUM(G663+Budget3[[#This Row],[Income]]-Budget3[[#This Row],[Credit]])</f>
        <v>#REF!</v>
      </c>
      <c r="H664" s="2" t="str">
        <f>TEXT(Budget3[[#This Row],[Date]], "mmm")</f>
        <v>Jan</v>
      </c>
      <c r="I664" s="2" t="str">
        <f>IF(ISNUMBER(SEARCH("income", Budget3[[#This Row],[Category]])), "Income", "")</f>
        <v/>
      </c>
    </row>
    <row r="665" spans="1:9" x14ac:dyDescent="0.45">
      <c r="A665">
        <f>MONTH(Budget3[[#This Row],[Date]])</f>
        <v>1</v>
      </c>
      <c r="G665" s="2" t="e">
        <f>SUM(G664+Budget3[[#This Row],[Income]]-Budget3[[#This Row],[Credit]])</f>
        <v>#REF!</v>
      </c>
      <c r="H665" s="2" t="str">
        <f>TEXT(Budget3[[#This Row],[Date]], "mmm")</f>
        <v>Jan</v>
      </c>
      <c r="I665" s="2" t="str">
        <f>IF(ISNUMBER(SEARCH("income", Budget3[[#This Row],[Category]])), "Income", "")</f>
        <v/>
      </c>
    </row>
    <row r="666" spans="1:9" x14ac:dyDescent="0.45">
      <c r="A666">
        <f>MONTH(Budget3[[#This Row],[Date]])</f>
        <v>1</v>
      </c>
      <c r="G666" s="2" t="e">
        <f>SUM(G665+Budget3[[#This Row],[Income]]-Budget3[[#This Row],[Credit]])</f>
        <v>#REF!</v>
      </c>
      <c r="H666" s="2" t="str">
        <f>TEXT(Budget3[[#This Row],[Date]], "mmm")</f>
        <v>Jan</v>
      </c>
      <c r="I666" s="2" t="str">
        <f>IF(ISNUMBER(SEARCH("income", Budget3[[#This Row],[Category]])), "Income", "")</f>
        <v/>
      </c>
    </row>
    <row r="667" spans="1:9" x14ac:dyDescent="0.45">
      <c r="A667">
        <f>MONTH(Budget3[[#This Row],[Date]])</f>
        <v>1</v>
      </c>
      <c r="G667" s="2" t="e">
        <f>SUM(G666+Budget3[[#This Row],[Income]]-Budget3[[#This Row],[Credit]])</f>
        <v>#REF!</v>
      </c>
      <c r="H667" s="2" t="str">
        <f>TEXT(Budget3[[#This Row],[Date]], "mmm")</f>
        <v>Jan</v>
      </c>
      <c r="I667" s="2" t="str">
        <f>IF(ISNUMBER(SEARCH("income", Budget3[[#This Row],[Category]])), "Income", "")</f>
        <v/>
      </c>
    </row>
    <row r="668" spans="1:9" x14ac:dyDescent="0.45">
      <c r="A668">
        <f>MONTH(Budget3[[#This Row],[Date]])</f>
        <v>1</v>
      </c>
      <c r="G668" s="2" t="e">
        <f>SUM(G667+Budget3[[#This Row],[Income]]-Budget3[[#This Row],[Credit]])</f>
        <v>#REF!</v>
      </c>
      <c r="H668" s="2" t="str">
        <f>TEXT(Budget3[[#This Row],[Date]], "mmm")</f>
        <v>Jan</v>
      </c>
      <c r="I668" s="2" t="str">
        <f>IF(ISNUMBER(SEARCH("income", Budget3[[#This Row],[Category]])), "Income", "")</f>
        <v/>
      </c>
    </row>
    <row r="669" spans="1:9" x14ac:dyDescent="0.45">
      <c r="A669">
        <f>MONTH(Budget3[[#This Row],[Date]])</f>
        <v>1</v>
      </c>
      <c r="G669" s="2" t="e">
        <f>SUM(G668+Budget3[[#This Row],[Income]]-Budget3[[#This Row],[Credit]])</f>
        <v>#REF!</v>
      </c>
      <c r="H669" s="2" t="str">
        <f>TEXT(Budget3[[#This Row],[Date]], "mmm")</f>
        <v>Jan</v>
      </c>
      <c r="I669" s="2" t="str">
        <f>IF(ISNUMBER(SEARCH("income", Budget3[[#This Row],[Category]])), "Income", "")</f>
        <v/>
      </c>
    </row>
    <row r="670" spans="1:9" x14ac:dyDescent="0.45">
      <c r="A670">
        <f>MONTH(Budget3[[#This Row],[Date]])</f>
        <v>1</v>
      </c>
      <c r="G670" s="2" t="e">
        <f>SUM(G669+Budget3[[#This Row],[Income]]-Budget3[[#This Row],[Credit]])</f>
        <v>#REF!</v>
      </c>
      <c r="H670" s="2" t="str">
        <f>TEXT(Budget3[[#This Row],[Date]], "mmm")</f>
        <v>Jan</v>
      </c>
      <c r="I670" s="2" t="str">
        <f>IF(ISNUMBER(SEARCH("income", Budget3[[#This Row],[Category]])), "Income", "")</f>
        <v/>
      </c>
    </row>
    <row r="671" spans="1:9" x14ac:dyDescent="0.45">
      <c r="A671">
        <f>MONTH(Budget3[[#This Row],[Date]])</f>
        <v>1</v>
      </c>
      <c r="G671" s="2" t="e">
        <f>SUM(G670+Budget3[[#This Row],[Income]]-Budget3[[#This Row],[Credit]])</f>
        <v>#REF!</v>
      </c>
      <c r="H671" s="2" t="str">
        <f>TEXT(Budget3[[#This Row],[Date]], "mmm")</f>
        <v>Jan</v>
      </c>
      <c r="I671" s="2" t="str">
        <f>IF(ISNUMBER(SEARCH("income", Budget3[[#This Row],[Category]])), "Income", "")</f>
        <v/>
      </c>
    </row>
    <row r="672" spans="1:9" x14ac:dyDescent="0.45">
      <c r="A672">
        <f>MONTH(Budget3[[#This Row],[Date]])</f>
        <v>1</v>
      </c>
      <c r="G672" s="2" t="e">
        <f>SUM(G671+Budget3[[#This Row],[Income]]-Budget3[[#This Row],[Credit]])</f>
        <v>#REF!</v>
      </c>
      <c r="H672" s="2" t="str">
        <f>TEXT(Budget3[[#This Row],[Date]], "mmm")</f>
        <v>Jan</v>
      </c>
      <c r="I672" s="2" t="str">
        <f>IF(ISNUMBER(SEARCH("income", Budget3[[#This Row],[Category]])), "Income", "")</f>
        <v/>
      </c>
    </row>
    <row r="673" spans="1:9" x14ac:dyDescent="0.45">
      <c r="A673">
        <f>MONTH(Budget3[[#This Row],[Date]])</f>
        <v>1</v>
      </c>
      <c r="G673" s="2" t="e">
        <f>SUM(G672+Budget3[[#This Row],[Income]]-Budget3[[#This Row],[Credit]])</f>
        <v>#REF!</v>
      </c>
      <c r="H673" s="2" t="str">
        <f>TEXT(Budget3[[#This Row],[Date]], "mmm")</f>
        <v>Jan</v>
      </c>
      <c r="I673" s="2" t="str">
        <f>IF(ISNUMBER(SEARCH("income", Budget3[[#This Row],[Category]])), "Income", "")</f>
        <v/>
      </c>
    </row>
    <row r="674" spans="1:9" x14ac:dyDescent="0.45">
      <c r="A674">
        <f>MONTH(Budget3[[#This Row],[Date]])</f>
        <v>1</v>
      </c>
      <c r="G674" s="2" t="e">
        <f>SUM(G673+Budget3[[#This Row],[Income]]-Budget3[[#This Row],[Credit]])</f>
        <v>#REF!</v>
      </c>
      <c r="H674" s="2" t="str">
        <f>TEXT(Budget3[[#This Row],[Date]], "mmm")</f>
        <v>Jan</v>
      </c>
      <c r="I674" s="2" t="str">
        <f>IF(ISNUMBER(SEARCH("income", Budget3[[#This Row],[Category]])), "Income", "")</f>
        <v/>
      </c>
    </row>
    <row r="675" spans="1:9" x14ac:dyDescent="0.45">
      <c r="A675">
        <f>MONTH(Budget3[[#This Row],[Date]])</f>
        <v>1</v>
      </c>
      <c r="G675" s="2" t="e">
        <f>SUM(G674+Budget3[[#This Row],[Income]]-Budget3[[#This Row],[Credit]])</f>
        <v>#REF!</v>
      </c>
      <c r="H675" s="2" t="str">
        <f>TEXT(Budget3[[#This Row],[Date]], "mmm")</f>
        <v>Jan</v>
      </c>
      <c r="I675" s="2" t="str">
        <f>IF(ISNUMBER(SEARCH("income", Budget3[[#This Row],[Category]])), "Income", "")</f>
        <v/>
      </c>
    </row>
    <row r="676" spans="1:9" x14ac:dyDescent="0.45">
      <c r="A676">
        <f>MONTH(Budget3[[#This Row],[Date]])</f>
        <v>1</v>
      </c>
      <c r="G676" s="2" t="e">
        <f>SUM(G675+Budget3[[#This Row],[Income]]-Budget3[[#This Row],[Credit]])</f>
        <v>#REF!</v>
      </c>
      <c r="H676" s="2" t="str">
        <f>TEXT(Budget3[[#This Row],[Date]], "mmm")</f>
        <v>Jan</v>
      </c>
      <c r="I676" s="2" t="str">
        <f>IF(ISNUMBER(SEARCH("income", Budget3[[#This Row],[Category]])), "Income", "")</f>
        <v/>
      </c>
    </row>
    <row r="677" spans="1:9" x14ac:dyDescent="0.45">
      <c r="A677">
        <f>MONTH(Budget3[[#This Row],[Date]])</f>
        <v>1</v>
      </c>
      <c r="G677" s="2" t="e">
        <f>SUM(G676+Budget3[[#This Row],[Income]]-Budget3[[#This Row],[Credit]])</f>
        <v>#REF!</v>
      </c>
      <c r="H677" s="2" t="str">
        <f>TEXT(Budget3[[#This Row],[Date]], "mmm")</f>
        <v>Jan</v>
      </c>
      <c r="I677" s="2" t="str">
        <f>IF(ISNUMBER(SEARCH("income", Budget3[[#This Row],[Category]])), "Income", "")</f>
        <v/>
      </c>
    </row>
    <row r="678" spans="1:9" x14ac:dyDescent="0.45">
      <c r="A678">
        <f>MONTH(Budget3[[#This Row],[Date]])</f>
        <v>1</v>
      </c>
      <c r="G678" s="2" t="e">
        <f>SUM(G677+Budget3[[#This Row],[Income]]-Budget3[[#This Row],[Credit]])</f>
        <v>#REF!</v>
      </c>
      <c r="H678" s="2" t="str">
        <f>TEXT(Budget3[[#This Row],[Date]], "mmm")</f>
        <v>Jan</v>
      </c>
      <c r="I678" s="2" t="str">
        <f>IF(ISNUMBER(SEARCH("income", Budget3[[#This Row],[Category]])), "Income", "")</f>
        <v/>
      </c>
    </row>
    <row r="679" spans="1:9" x14ac:dyDescent="0.45">
      <c r="A679">
        <f>MONTH(Budget3[[#This Row],[Date]])</f>
        <v>1</v>
      </c>
      <c r="G679" s="2" t="e">
        <f>SUM(G678+Budget3[[#This Row],[Income]]-Budget3[[#This Row],[Credit]])</f>
        <v>#REF!</v>
      </c>
      <c r="H679" s="2" t="str">
        <f>TEXT(Budget3[[#This Row],[Date]], "mmm")</f>
        <v>Jan</v>
      </c>
      <c r="I679" s="2" t="str">
        <f>IF(ISNUMBER(SEARCH("income", Budget3[[#This Row],[Category]])), "Income", "")</f>
        <v/>
      </c>
    </row>
    <row r="680" spans="1:9" x14ac:dyDescent="0.45">
      <c r="A680">
        <f>MONTH(Budget3[[#This Row],[Date]])</f>
        <v>1</v>
      </c>
      <c r="G680" s="2" t="e">
        <f>SUM(G679+Budget3[[#This Row],[Income]]-Budget3[[#This Row],[Credit]])</f>
        <v>#REF!</v>
      </c>
      <c r="H680" s="2" t="str">
        <f>TEXT(Budget3[[#This Row],[Date]], "mmm")</f>
        <v>Jan</v>
      </c>
      <c r="I680" s="2" t="str">
        <f>IF(ISNUMBER(SEARCH("income", Budget3[[#This Row],[Category]])), "Income", "")</f>
        <v/>
      </c>
    </row>
    <row r="681" spans="1:9" x14ac:dyDescent="0.45">
      <c r="A681">
        <f>MONTH(Budget3[[#This Row],[Date]])</f>
        <v>1</v>
      </c>
      <c r="G681" s="2" t="e">
        <f>SUM(G680+Budget3[[#This Row],[Income]]-Budget3[[#This Row],[Credit]])</f>
        <v>#REF!</v>
      </c>
      <c r="H681" s="2" t="str">
        <f>TEXT(Budget3[[#This Row],[Date]], "mmm")</f>
        <v>Jan</v>
      </c>
      <c r="I681" s="2" t="str">
        <f>IF(ISNUMBER(SEARCH("income", Budget3[[#This Row],[Category]])), "Income", "")</f>
        <v/>
      </c>
    </row>
    <row r="682" spans="1:9" x14ac:dyDescent="0.45">
      <c r="A682">
        <f>MONTH(Budget3[[#This Row],[Date]])</f>
        <v>1</v>
      </c>
      <c r="G682" s="2" t="e">
        <f>SUM(G681+Budget3[[#This Row],[Income]]-Budget3[[#This Row],[Credit]])</f>
        <v>#REF!</v>
      </c>
      <c r="H682" s="2" t="str">
        <f>TEXT(Budget3[[#This Row],[Date]], "mmm")</f>
        <v>Jan</v>
      </c>
      <c r="I682" s="2" t="str">
        <f>IF(ISNUMBER(SEARCH("income", Budget3[[#This Row],[Category]])), "Income", "")</f>
        <v/>
      </c>
    </row>
    <row r="683" spans="1:9" x14ac:dyDescent="0.45">
      <c r="A683">
        <f>MONTH(Budget3[[#This Row],[Date]])</f>
        <v>1</v>
      </c>
      <c r="G683" s="2" t="e">
        <f>SUM(G682+Budget3[[#This Row],[Income]]-Budget3[[#This Row],[Credit]])</f>
        <v>#REF!</v>
      </c>
      <c r="H683" s="2" t="str">
        <f>TEXT(Budget3[[#This Row],[Date]], "mmm")</f>
        <v>Jan</v>
      </c>
      <c r="I683" s="2" t="str">
        <f>IF(ISNUMBER(SEARCH("income", Budget3[[#This Row],[Category]])), "Income", "")</f>
        <v/>
      </c>
    </row>
    <row r="684" spans="1:9" x14ac:dyDescent="0.45">
      <c r="A684">
        <f>MONTH(Budget3[[#This Row],[Date]])</f>
        <v>1</v>
      </c>
      <c r="G684" s="2" t="e">
        <f>SUM(G683+Budget3[[#This Row],[Income]]-Budget3[[#This Row],[Credit]])</f>
        <v>#REF!</v>
      </c>
      <c r="H684" s="2" t="str">
        <f>TEXT(Budget3[[#This Row],[Date]], "mmm")</f>
        <v>Jan</v>
      </c>
      <c r="I684" s="2" t="str">
        <f>IF(ISNUMBER(SEARCH("income", Budget3[[#This Row],[Category]])), "Income", "")</f>
        <v/>
      </c>
    </row>
    <row r="685" spans="1:9" x14ac:dyDescent="0.45">
      <c r="A685">
        <f>MONTH(Budget3[[#This Row],[Date]])</f>
        <v>1</v>
      </c>
      <c r="G685" s="2" t="e">
        <f>SUM(G684+Budget3[[#This Row],[Income]]-Budget3[[#This Row],[Credit]])</f>
        <v>#REF!</v>
      </c>
      <c r="H685" s="2" t="str">
        <f>TEXT(Budget3[[#This Row],[Date]], "mmm")</f>
        <v>Jan</v>
      </c>
      <c r="I685" s="2" t="str">
        <f>IF(ISNUMBER(SEARCH("income", Budget3[[#This Row],[Category]])), "Income", "")</f>
        <v/>
      </c>
    </row>
    <row r="686" spans="1:9" x14ac:dyDescent="0.45">
      <c r="A686">
        <f>MONTH(Budget3[[#This Row],[Date]])</f>
        <v>1</v>
      </c>
      <c r="G686" s="2" t="e">
        <f>SUM(G685+Budget3[[#This Row],[Income]]-Budget3[[#This Row],[Credit]])</f>
        <v>#REF!</v>
      </c>
      <c r="H686" s="2" t="str">
        <f>TEXT(Budget3[[#This Row],[Date]], "mmm")</f>
        <v>Jan</v>
      </c>
      <c r="I686" s="2" t="str">
        <f>IF(ISNUMBER(SEARCH("income", Budget3[[#This Row],[Category]])), "Income", "")</f>
        <v/>
      </c>
    </row>
    <row r="687" spans="1:9" x14ac:dyDescent="0.45">
      <c r="A687">
        <f>MONTH(Budget3[[#This Row],[Date]])</f>
        <v>1</v>
      </c>
      <c r="G687" s="2" t="e">
        <f>SUM(G686+Budget3[[#This Row],[Income]]-Budget3[[#This Row],[Credit]])</f>
        <v>#REF!</v>
      </c>
      <c r="H687" s="2" t="str">
        <f>TEXT(Budget3[[#This Row],[Date]], "mmm")</f>
        <v>Jan</v>
      </c>
      <c r="I687" s="2" t="str">
        <f>IF(ISNUMBER(SEARCH("income", Budget3[[#This Row],[Category]])), "Income", "")</f>
        <v/>
      </c>
    </row>
    <row r="688" spans="1:9" x14ac:dyDescent="0.45">
      <c r="A688">
        <f>MONTH(Budget3[[#This Row],[Date]])</f>
        <v>1</v>
      </c>
      <c r="G688" s="2" t="e">
        <f>SUM(G687+Budget3[[#This Row],[Income]]-Budget3[[#This Row],[Credit]])</f>
        <v>#REF!</v>
      </c>
      <c r="H688" s="2" t="str">
        <f>TEXT(Budget3[[#This Row],[Date]], "mmm")</f>
        <v>Jan</v>
      </c>
      <c r="I688" s="2" t="str">
        <f>IF(ISNUMBER(SEARCH("income", Budget3[[#This Row],[Category]])), "Income", "")</f>
        <v/>
      </c>
    </row>
    <row r="689" spans="1:9" x14ac:dyDescent="0.45">
      <c r="A689">
        <f>MONTH(Budget3[[#This Row],[Date]])</f>
        <v>1</v>
      </c>
      <c r="G689" s="2" t="e">
        <f>SUM(G688+Budget3[[#This Row],[Income]]-Budget3[[#This Row],[Credit]])</f>
        <v>#REF!</v>
      </c>
      <c r="H689" s="2" t="str">
        <f>TEXT(Budget3[[#This Row],[Date]], "mmm")</f>
        <v>Jan</v>
      </c>
      <c r="I689" s="2" t="str">
        <f>IF(ISNUMBER(SEARCH("income", Budget3[[#This Row],[Category]])), "Income", "")</f>
        <v/>
      </c>
    </row>
    <row r="690" spans="1:9" x14ac:dyDescent="0.45">
      <c r="A690">
        <f>MONTH(Budget3[[#This Row],[Date]])</f>
        <v>1</v>
      </c>
      <c r="G690" s="2" t="e">
        <f>SUM(G689+Budget3[[#This Row],[Income]]-Budget3[[#This Row],[Credit]])</f>
        <v>#REF!</v>
      </c>
      <c r="H690" s="2" t="str">
        <f>TEXT(Budget3[[#This Row],[Date]], "mmm")</f>
        <v>Jan</v>
      </c>
      <c r="I690" s="2" t="str">
        <f>IF(ISNUMBER(SEARCH("income", Budget3[[#This Row],[Category]])), "Income", "")</f>
        <v/>
      </c>
    </row>
    <row r="691" spans="1:9" x14ac:dyDescent="0.45">
      <c r="A691">
        <f>MONTH(Budget3[[#This Row],[Date]])</f>
        <v>1</v>
      </c>
      <c r="G691" s="2" t="e">
        <f>SUM(G690+Budget3[[#This Row],[Income]]-Budget3[[#This Row],[Credit]])</f>
        <v>#REF!</v>
      </c>
      <c r="H691" s="2" t="str">
        <f>TEXT(Budget3[[#This Row],[Date]], "mmm")</f>
        <v>Jan</v>
      </c>
      <c r="I691" s="2" t="str">
        <f>IF(ISNUMBER(SEARCH("income", Budget3[[#This Row],[Category]])), "Income", "")</f>
        <v/>
      </c>
    </row>
    <row r="692" spans="1:9" x14ac:dyDescent="0.45">
      <c r="A692">
        <f>MONTH(Budget3[[#This Row],[Date]])</f>
        <v>1</v>
      </c>
      <c r="G692" s="2" t="e">
        <f>SUM(G691+Budget3[[#This Row],[Income]]-Budget3[[#This Row],[Credit]])</f>
        <v>#REF!</v>
      </c>
      <c r="H692" s="2" t="str">
        <f>TEXT(Budget3[[#This Row],[Date]], "mmm")</f>
        <v>Jan</v>
      </c>
      <c r="I692" s="2" t="str">
        <f>IF(ISNUMBER(SEARCH("income", Budget3[[#This Row],[Category]])), "Income", "")</f>
        <v/>
      </c>
    </row>
    <row r="693" spans="1:9" x14ac:dyDescent="0.45">
      <c r="A693">
        <f>MONTH(Budget3[[#This Row],[Date]])</f>
        <v>1</v>
      </c>
      <c r="G693" s="2" t="e">
        <f>SUM(G692+Budget3[[#This Row],[Income]]-Budget3[[#This Row],[Credit]])</f>
        <v>#REF!</v>
      </c>
      <c r="H693" s="2" t="str">
        <f>TEXT(Budget3[[#This Row],[Date]], "mmm")</f>
        <v>Jan</v>
      </c>
      <c r="I693" s="2" t="str">
        <f>IF(ISNUMBER(SEARCH("income", Budget3[[#This Row],[Category]])), "Income", "")</f>
        <v/>
      </c>
    </row>
    <row r="694" spans="1:9" x14ac:dyDescent="0.45">
      <c r="A694">
        <f>MONTH(Budget3[[#This Row],[Date]])</f>
        <v>1</v>
      </c>
      <c r="G694" s="2" t="e">
        <f>SUM(G693+Budget3[[#This Row],[Income]]-Budget3[[#This Row],[Credit]])</f>
        <v>#REF!</v>
      </c>
      <c r="H694" s="2" t="str">
        <f>TEXT(Budget3[[#This Row],[Date]], "mmm")</f>
        <v>Jan</v>
      </c>
      <c r="I694" s="2" t="str">
        <f>IF(ISNUMBER(SEARCH("income", Budget3[[#This Row],[Category]])), "Income", "")</f>
        <v/>
      </c>
    </row>
    <row r="695" spans="1:9" x14ac:dyDescent="0.45">
      <c r="A695">
        <f>MONTH(Budget3[[#This Row],[Date]])</f>
        <v>1</v>
      </c>
      <c r="G695" s="2" t="e">
        <f>SUM(G694+Budget3[[#This Row],[Income]]-Budget3[[#This Row],[Credit]])</f>
        <v>#REF!</v>
      </c>
      <c r="H695" s="2" t="str">
        <f>TEXT(Budget3[[#This Row],[Date]], "mmm")</f>
        <v>Jan</v>
      </c>
      <c r="I695" s="2" t="str">
        <f>IF(ISNUMBER(SEARCH("income", Budget3[[#This Row],[Category]])), "Income", "")</f>
        <v/>
      </c>
    </row>
    <row r="696" spans="1:9" x14ac:dyDescent="0.45">
      <c r="A696">
        <f>MONTH(Budget3[[#This Row],[Date]])</f>
        <v>1</v>
      </c>
      <c r="G696" s="2" t="e">
        <f>SUM(G695+Budget3[[#This Row],[Income]]-Budget3[[#This Row],[Credit]])</f>
        <v>#REF!</v>
      </c>
      <c r="H696" s="2" t="str">
        <f>TEXT(Budget3[[#This Row],[Date]], "mmm")</f>
        <v>Jan</v>
      </c>
      <c r="I696" s="2" t="str">
        <f>IF(ISNUMBER(SEARCH("income", Budget3[[#This Row],[Category]])), "Income", "")</f>
        <v/>
      </c>
    </row>
    <row r="697" spans="1:9" x14ac:dyDescent="0.45">
      <c r="A697">
        <f>MONTH(Budget3[[#This Row],[Date]])</f>
        <v>1</v>
      </c>
      <c r="G697" s="2" t="e">
        <f>SUM(G696+Budget3[[#This Row],[Income]]-Budget3[[#This Row],[Credit]])</f>
        <v>#REF!</v>
      </c>
      <c r="H697" s="2" t="str">
        <f>TEXT(Budget3[[#This Row],[Date]], "mmm")</f>
        <v>Jan</v>
      </c>
      <c r="I697" s="2" t="str">
        <f>IF(ISNUMBER(SEARCH("income", Budget3[[#This Row],[Category]])), "Income", "")</f>
        <v/>
      </c>
    </row>
    <row r="698" spans="1:9" x14ac:dyDescent="0.45">
      <c r="A698">
        <f>MONTH(Budget3[[#This Row],[Date]])</f>
        <v>1</v>
      </c>
      <c r="G698" s="2" t="e">
        <f>SUM(G697+Budget3[[#This Row],[Income]]-Budget3[[#This Row],[Credit]])</f>
        <v>#REF!</v>
      </c>
      <c r="H698" s="2" t="str">
        <f>TEXT(Budget3[[#This Row],[Date]], "mmm")</f>
        <v>Jan</v>
      </c>
      <c r="I698" s="2" t="str">
        <f>IF(ISNUMBER(SEARCH("income", Budget3[[#This Row],[Category]])), "Income", "")</f>
        <v/>
      </c>
    </row>
    <row r="699" spans="1:9" x14ac:dyDescent="0.45">
      <c r="A699">
        <f>MONTH(Budget3[[#This Row],[Date]])</f>
        <v>1</v>
      </c>
      <c r="G699" s="2" t="e">
        <f>SUM(G698+Budget3[[#This Row],[Income]]-Budget3[[#This Row],[Credit]])</f>
        <v>#REF!</v>
      </c>
      <c r="H699" s="2" t="str">
        <f>TEXT(Budget3[[#This Row],[Date]], "mmm")</f>
        <v>Jan</v>
      </c>
      <c r="I699" s="2" t="str">
        <f>IF(ISNUMBER(SEARCH("income", Budget3[[#This Row],[Category]])), "Income", "")</f>
        <v/>
      </c>
    </row>
    <row r="700" spans="1:9" x14ac:dyDescent="0.45">
      <c r="A700">
        <f>MONTH(Budget3[[#This Row],[Date]])</f>
        <v>1</v>
      </c>
      <c r="G700" s="2" t="e">
        <f>SUM(G699+Budget3[[#This Row],[Income]]-Budget3[[#This Row],[Credit]])</f>
        <v>#REF!</v>
      </c>
      <c r="H700" s="2" t="str">
        <f>TEXT(Budget3[[#This Row],[Date]], "mmm")</f>
        <v>Jan</v>
      </c>
      <c r="I700" s="2" t="str">
        <f>IF(ISNUMBER(SEARCH("income", Budget3[[#This Row],[Category]])), "Income", "")</f>
        <v/>
      </c>
    </row>
    <row r="701" spans="1:9" x14ac:dyDescent="0.45">
      <c r="A701">
        <f>MONTH(Budget3[[#This Row],[Date]])</f>
        <v>1</v>
      </c>
      <c r="G701" s="2" t="e">
        <f>SUM(G700+Budget3[[#This Row],[Income]]-Budget3[[#This Row],[Credit]])</f>
        <v>#REF!</v>
      </c>
      <c r="H701" s="2" t="str">
        <f>TEXT(Budget3[[#This Row],[Date]], "mmm")</f>
        <v>Jan</v>
      </c>
      <c r="I701" s="2" t="str">
        <f>IF(ISNUMBER(SEARCH("income", Budget3[[#This Row],[Category]])), "Income", "")</f>
        <v/>
      </c>
    </row>
    <row r="702" spans="1:9" x14ac:dyDescent="0.45">
      <c r="A702">
        <f>MONTH(Budget3[[#This Row],[Date]])</f>
        <v>1</v>
      </c>
      <c r="G702" s="2" t="e">
        <f>SUM(G701+Budget3[[#This Row],[Income]]-Budget3[[#This Row],[Credit]])</f>
        <v>#REF!</v>
      </c>
      <c r="H702" s="2" t="str">
        <f>TEXT(Budget3[[#This Row],[Date]], "mmm")</f>
        <v>Jan</v>
      </c>
      <c r="I702" s="2" t="str">
        <f>IF(ISNUMBER(SEARCH("income", Budget3[[#This Row],[Category]])), "Income", "")</f>
        <v/>
      </c>
    </row>
    <row r="703" spans="1:9" x14ac:dyDescent="0.45">
      <c r="A703">
        <f>MONTH(Budget3[[#This Row],[Date]])</f>
        <v>1</v>
      </c>
      <c r="G703" s="2" t="e">
        <f>SUM(G702+Budget3[[#This Row],[Income]]-Budget3[[#This Row],[Credit]])</f>
        <v>#REF!</v>
      </c>
      <c r="H703" s="2" t="str">
        <f>TEXT(Budget3[[#This Row],[Date]], "mmm")</f>
        <v>Jan</v>
      </c>
      <c r="I703" s="2" t="str">
        <f>IF(ISNUMBER(SEARCH("income", Budget3[[#This Row],[Category]])), "Income", "")</f>
        <v/>
      </c>
    </row>
    <row r="704" spans="1:9" x14ac:dyDescent="0.45">
      <c r="A704">
        <f>MONTH(Budget3[[#This Row],[Date]])</f>
        <v>1</v>
      </c>
      <c r="G704" s="2" t="e">
        <f>SUM(G703+Budget3[[#This Row],[Income]]-Budget3[[#This Row],[Credit]])</f>
        <v>#REF!</v>
      </c>
      <c r="H704" s="2" t="str">
        <f>TEXT(Budget3[[#This Row],[Date]], "mmm")</f>
        <v>Jan</v>
      </c>
      <c r="I704" s="2" t="str">
        <f>IF(ISNUMBER(SEARCH("income", Budget3[[#This Row],[Category]])), "Income", "")</f>
        <v/>
      </c>
    </row>
    <row r="705" spans="1:9" x14ac:dyDescent="0.45">
      <c r="A705">
        <f>MONTH(Budget3[[#This Row],[Date]])</f>
        <v>1</v>
      </c>
      <c r="G705" s="2" t="e">
        <f>SUM(G704+Budget3[[#This Row],[Income]]-Budget3[[#This Row],[Credit]])</f>
        <v>#REF!</v>
      </c>
      <c r="H705" s="2" t="str">
        <f>TEXT(Budget3[[#This Row],[Date]], "mmm")</f>
        <v>Jan</v>
      </c>
      <c r="I705" s="2" t="str">
        <f>IF(ISNUMBER(SEARCH("income", Budget3[[#This Row],[Category]])), "Income", "")</f>
        <v/>
      </c>
    </row>
    <row r="706" spans="1:9" x14ac:dyDescent="0.45">
      <c r="A706">
        <f>MONTH(Budget3[[#This Row],[Date]])</f>
        <v>1</v>
      </c>
      <c r="G706" s="2" t="e">
        <f>SUM(G705+Budget3[[#This Row],[Income]]-Budget3[[#This Row],[Credit]])</f>
        <v>#REF!</v>
      </c>
      <c r="H706" s="2" t="str">
        <f>TEXT(Budget3[[#This Row],[Date]], "mmm")</f>
        <v>Jan</v>
      </c>
      <c r="I706" s="2" t="str">
        <f>IF(ISNUMBER(SEARCH("income", Budget3[[#This Row],[Category]])), "Income", "")</f>
        <v/>
      </c>
    </row>
    <row r="707" spans="1:9" x14ac:dyDescent="0.45">
      <c r="A707">
        <f>MONTH(Budget3[[#This Row],[Date]])</f>
        <v>1</v>
      </c>
      <c r="G707" s="2" t="e">
        <f>SUM(G706+Budget3[[#This Row],[Income]]-Budget3[[#This Row],[Credit]])</f>
        <v>#REF!</v>
      </c>
      <c r="H707" s="2" t="str">
        <f>TEXT(Budget3[[#This Row],[Date]], "mmm")</f>
        <v>Jan</v>
      </c>
      <c r="I707" s="2" t="str">
        <f>IF(ISNUMBER(SEARCH("income", Budget3[[#This Row],[Category]])), "Income", "")</f>
        <v/>
      </c>
    </row>
  </sheetData>
  <dataConsolidate/>
  <phoneticPr fontId="4" type="noConversion"/>
  <conditionalFormatting sqref="C3">
    <cfRule type="dataBar" priority="20">
      <dataBar>
        <cfvo type="num" val="0"/>
        <cfvo type="num" val="1500"/>
        <color rgb="FF63C384"/>
      </dataBar>
      <extLst>
        <ext xmlns:x14="http://schemas.microsoft.com/office/spreadsheetml/2009/9/main" uri="{B025F937-C7B1-47D3-B67F-A62EFF666E3E}">
          <x14:id>{1DA77633-F31E-4FAD-8039-82B723A8E430}</x14:id>
        </ext>
      </extLst>
    </cfRule>
  </conditionalFormatting>
  <conditionalFormatting sqref="C4">
    <cfRule type="dataBar" priority="19">
      <dataBar>
        <cfvo type="num" val="0"/>
        <cfvo type="num" val="150"/>
        <color rgb="FFFF555A"/>
      </dataBar>
      <extLst>
        <ext xmlns:x14="http://schemas.microsoft.com/office/spreadsheetml/2009/9/main" uri="{B025F937-C7B1-47D3-B67F-A62EFF666E3E}">
          <x14:id>{89630435-DFC5-4E66-8F3A-7F7FC76840EC}</x14:id>
        </ext>
      </extLst>
    </cfRule>
  </conditionalFormatting>
  <conditionalFormatting sqref="C5">
    <cfRule type="dataBar" priority="18">
      <dataBar>
        <cfvo type="num" val="0"/>
        <cfvo type="num" val="150"/>
        <color rgb="FFFF555A"/>
      </dataBar>
      <extLst>
        <ext xmlns:x14="http://schemas.microsoft.com/office/spreadsheetml/2009/9/main" uri="{B025F937-C7B1-47D3-B67F-A62EFF666E3E}">
          <x14:id>{1C3E2F0C-D57B-4D18-B245-BA25FE3C04D3}</x14:id>
        </ext>
      </extLst>
    </cfRule>
  </conditionalFormatting>
  <conditionalFormatting sqref="C6">
    <cfRule type="dataBar" priority="10">
      <dataBar>
        <cfvo type="num" val="0"/>
        <cfvo type="num" val="200"/>
        <color rgb="FFFF555A"/>
      </dataBar>
      <extLst>
        <ext xmlns:x14="http://schemas.microsoft.com/office/spreadsheetml/2009/9/main" uri="{B025F937-C7B1-47D3-B67F-A62EFF666E3E}">
          <x14:id>{8D919DFA-14A4-439B-8BEA-A72EE6A306A0}</x14:id>
        </ext>
      </extLst>
    </cfRule>
  </conditionalFormatting>
  <conditionalFormatting sqref="C7">
    <cfRule type="dataBar" priority="17">
      <dataBar>
        <cfvo type="num" val="0"/>
        <cfvo type="num" val="200"/>
        <color rgb="FFFF555A"/>
      </dataBar>
      <extLst>
        <ext xmlns:x14="http://schemas.microsoft.com/office/spreadsheetml/2009/9/main" uri="{B025F937-C7B1-47D3-B67F-A62EFF666E3E}">
          <x14:id>{4BC3C04A-E3FC-4F7F-A95E-7F1254465CF1}</x14:id>
        </ext>
      </extLst>
    </cfRule>
  </conditionalFormatting>
  <conditionalFormatting sqref="D11:D424 D426:D428 D436:D439 D445:D707">
    <cfRule type="containsText" dxfId="18" priority="8" operator="containsText" text="ZELLE">
      <formula>NOT(ISERROR(SEARCH("ZELLE",D11)))</formula>
    </cfRule>
    <cfRule type="containsText" dxfId="17" priority="9" operator="containsText" text="Income">
      <formula>NOT(ISERROR(SEARCH("Income",D11)))</formula>
    </cfRule>
    <cfRule type="containsText" dxfId="16" priority="11" operator="containsText" text="Savings">
      <formula>NOT(ISERROR(SEARCH("Savings",D11)))</formula>
    </cfRule>
    <cfRule type="containsText" dxfId="15" priority="12" operator="containsText" text="PAYMENT">
      <formula>NOT(ISERROR(SEARCH("PAYMENT",D11)))</formula>
    </cfRule>
  </conditionalFormatting>
  <conditionalFormatting sqref="D12:D28 D30:D39 D234:D240 D242:D246 D248:D265 D268:D286 D288:D307 D309:D326 D328:D349 D351:D376 D378:D406 D408:D424 D426:D428 D436 D438:D439 D445:D447 D449:D462 D464:D707">
    <cfRule type="containsText" dxfId="14" priority="14" operator="containsText" text="Savings">
      <formula>NOT(ISERROR(SEARCH("Savings",D12)))</formula>
    </cfRule>
    <cfRule type="containsText" dxfId="13" priority="15" operator="containsText" text="PAYMENT">
      <formula>NOT(ISERROR(SEARCH("PAYMENT",D12)))</formula>
    </cfRule>
    <cfRule type="containsText" dxfId="12" priority="16" operator="containsText" text="Income">
      <formula>NOT(ISERROR(SEARCH("Income",D12)))</formula>
    </cfRule>
  </conditionalFormatting>
  <conditionalFormatting sqref="D62">
    <cfRule type="containsText" dxfId="11" priority="13" operator="containsText" text="Income">
      <formula>NOT(ISERROR(SEARCH("Income",D62)))</formula>
    </cfRule>
  </conditionalFormatting>
  <conditionalFormatting sqref="D177">
    <cfRule type="containsText" dxfId="10" priority="3" operator="containsText" text="Savings">
      <formula>NOT(ISERROR(SEARCH("Savings",D177)))</formula>
    </cfRule>
    <cfRule type="containsText" dxfId="9" priority="4" operator="containsText" text="PAYMENT">
      <formula>NOT(ISERROR(SEARCH("PAYMENT",D177)))</formula>
    </cfRule>
    <cfRule type="containsText" dxfId="8" priority="5" operator="containsText" text="Income">
      <formula>NOT(ISERROR(SEARCH("Income",D177)))</formula>
    </cfRule>
  </conditionalFormatting>
  <conditionalFormatting sqref="E11:E309 E311:E424 E426:E428 E436:E439 E445:E707">
    <cfRule type="cellIs" dxfId="7" priority="6" operator="greaterThan">
      <formula>0</formula>
    </cfRule>
    <cfRule type="cellIs" dxfId="6" priority="7" operator="lessThan">
      <formula>0</formula>
    </cfRule>
  </conditionalFormatting>
  <dataValidations count="2">
    <dataValidation type="list" allowBlank="1" showInputMessage="1" showErrorMessage="1" sqref="D708:D1048576 D10" xr:uid="{9E4647D3-6CED-4565-8D75-D7CBCDD80339}">
      <formula1>"Income, Gas, Groceries, Entertainment, Savings, CREDIT"</formula1>
    </dataValidation>
    <dataValidation type="list" allowBlank="1" showInputMessage="1" showErrorMessage="1" sqref="D11:D424 D426:D428 D436:D439 D445:D707" xr:uid="{C3973B6C-DCB5-4C6A-931B-A14798FE3D26}">
      <formula1>"Income, Savings, ZELLE, Groceries, Food, Savings, Gas, CREDIT, INTEREST Savings, PAYMENT, Entertainment"</formula1>
    </dataValidation>
  </dataValidations>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1DA77633-F31E-4FAD-8039-82B723A8E430}">
            <x14:dataBar minLength="0" maxLength="100" gradient="0">
              <x14:cfvo type="num">
                <xm:f>0</xm:f>
              </x14:cfvo>
              <x14:cfvo type="num">
                <xm:f>1500</xm:f>
              </x14:cfvo>
              <x14:negativeFillColor rgb="FFFF0000"/>
              <x14:axisColor rgb="FF000000"/>
            </x14:dataBar>
          </x14:cfRule>
          <xm:sqref>C3</xm:sqref>
        </x14:conditionalFormatting>
        <x14:conditionalFormatting xmlns:xm="http://schemas.microsoft.com/office/excel/2006/main">
          <x14:cfRule type="dataBar" id="{89630435-DFC5-4E66-8F3A-7F7FC76840EC}">
            <x14:dataBar minLength="0" maxLength="100" gradient="0">
              <x14:cfvo type="num">
                <xm:f>0</xm:f>
              </x14:cfvo>
              <x14:cfvo type="num">
                <xm:f>150</xm:f>
              </x14:cfvo>
              <x14:negativeFillColor rgb="FFFF0000"/>
              <x14:axisColor rgb="FF000000"/>
            </x14:dataBar>
          </x14:cfRule>
          <xm:sqref>C4</xm:sqref>
        </x14:conditionalFormatting>
        <x14:conditionalFormatting xmlns:xm="http://schemas.microsoft.com/office/excel/2006/main">
          <x14:cfRule type="dataBar" id="{1C3E2F0C-D57B-4D18-B245-BA25FE3C04D3}">
            <x14:dataBar minLength="0" maxLength="100" gradient="0">
              <x14:cfvo type="num">
                <xm:f>0</xm:f>
              </x14:cfvo>
              <x14:cfvo type="num">
                <xm:f>150</xm:f>
              </x14:cfvo>
              <x14:negativeFillColor rgb="FFFF0000"/>
              <x14:axisColor rgb="FF000000"/>
            </x14:dataBar>
          </x14:cfRule>
          <xm:sqref>C5</xm:sqref>
        </x14:conditionalFormatting>
        <x14:conditionalFormatting xmlns:xm="http://schemas.microsoft.com/office/excel/2006/main">
          <x14:cfRule type="dataBar" id="{8D919DFA-14A4-439B-8BEA-A72EE6A306A0}">
            <x14:dataBar minLength="0" maxLength="100" gradient="0">
              <x14:cfvo type="num">
                <xm:f>0</xm:f>
              </x14:cfvo>
              <x14:cfvo type="num">
                <xm:f>200</xm:f>
              </x14:cfvo>
              <x14:negativeFillColor rgb="FFFF0000"/>
              <x14:axisColor rgb="FF000000"/>
            </x14:dataBar>
          </x14:cfRule>
          <xm:sqref>C6</xm:sqref>
        </x14:conditionalFormatting>
        <x14:conditionalFormatting xmlns:xm="http://schemas.microsoft.com/office/excel/2006/main">
          <x14:cfRule type="dataBar" id="{4BC3C04A-E3FC-4F7F-A95E-7F1254465CF1}">
            <x14:dataBar minLength="0" maxLength="100" gradient="0">
              <x14:cfvo type="num">
                <xm:f>0</xm:f>
              </x14:cfvo>
              <x14:cfvo type="num">
                <xm:f>200</xm:f>
              </x14:cfvo>
              <x14:negativeFillColor rgb="FFFF0000"/>
              <x14:axisColor rgb="FF000000"/>
            </x14:dataBar>
          </x14:cfRule>
          <xm:sqref>C7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9BDE-5E25-4D68-868C-5107F6382BAB}">
  <dimension ref="A1:T686"/>
  <sheetViews>
    <sheetView zoomScaleNormal="90" workbookViewId="0">
      <pane ySplit="7" topLeftCell="A8" activePane="bottomLeft" state="frozen"/>
      <selection pane="bottomLeft" activeCell="B2" sqref="B2"/>
    </sheetView>
  </sheetViews>
  <sheetFormatPr defaultRowHeight="14.25" x14ac:dyDescent="0.45"/>
  <cols>
    <col min="1" max="1" width="12" customWidth="1"/>
    <col min="2" max="2" width="16.6640625" style="1" customWidth="1"/>
    <col min="3" max="3" width="50.86328125" customWidth="1"/>
    <col min="4" max="4" width="24.86328125" customWidth="1"/>
    <col min="5" max="5" width="17.86328125" style="2" customWidth="1"/>
    <col min="6" max="6" width="17.796875" style="2" customWidth="1"/>
    <col min="7" max="7" width="19.1328125" style="2" customWidth="1"/>
    <col min="8" max="8" width="5.6640625" customWidth="1"/>
    <col min="9" max="9" width="3.33203125" customWidth="1"/>
    <col min="10" max="10" width="12.19921875" bestFit="1" customWidth="1"/>
    <col min="11" max="11" width="24.33203125" customWidth="1"/>
    <col min="12" max="12" width="4.6640625" customWidth="1"/>
    <col min="13" max="13" width="11.1328125" bestFit="1" customWidth="1"/>
    <col min="14" max="14" width="3.86328125" customWidth="1"/>
    <col min="17" max="17" width="16.46484375" customWidth="1"/>
    <col min="18" max="18" width="17.1328125" style="2" customWidth="1"/>
    <col min="20" max="20" width="16.6640625" style="2" customWidth="1"/>
  </cols>
  <sheetData>
    <row r="1" spans="1:20" ht="14.65" thickBot="1" x14ac:dyDescent="0.5">
      <c r="A1" s="3"/>
      <c r="B1" s="3"/>
      <c r="C1" s="4"/>
      <c r="D1" s="3"/>
      <c r="E1" s="3"/>
      <c r="F1" t="s">
        <v>20</v>
      </c>
      <c r="G1" t="s">
        <v>21</v>
      </c>
    </row>
    <row r="2" spans="1:20" x14ac:dyDescent="0.45">
      <c r="A2" s="3"/>
      <c r="B2" s="14">
        <v>12</v>
      </c>
      <c r="C2" s="19" t="s">
        <v>10</v>
      </c>
      <c r="D2" s="17" t="s">
        <v>11</v>
      </c>
      <c r="E2" s="3"/>
      <c r="F2" s="39" t="s">
        <v>22</v>
      </c>
      <c r="G2" s="40">
        <f>(SUMIFS(Budget[[#All],[Income]],Budget[[#All],[Category]],B3))-(SUMIFS(Budget[[#All],[Debit]],Budget[[#All],[Category]],F4))</f>
        <v>4800.9700000000012</v>
      </c>
    </row>
    <row r="3" spans="1:20" x14ac:dyDescent="0.45">
      <c r="A3" s="3"/>
      <c r="B3" s="18" t="s">
        <v>4</v>
      </c>
      <c r="C3" s="34">
        <f>SUMIFS(Budget[[#All],[Income]],Budget[[#All],[Month]],B2,Budget[[#All],[Category]],B3)</f>
        <v>1618.99</v>
      </c>
      <c r="D3" s="36">
        <v>1500</v>
      </c>
      <c r="E3" s="42">
        <f>(C3-SUM(C4:C6))/C3</f>
        <v>0.49228840202842511</v>
      </c>
      <c r="F3" t="s">
        <v>23</v>
      </c>
      <c r="G3" s="6">
        <f>SUMIFS(Budget[[#All],[Debit]],Budget[[#All],[Month]],B2,Budget[[#All],[Category]],B5)+(SUMIFS(Budget[[#All],[Debit]],Budget[[#All],[Month]],B2,D9:D686,B4)+(SUMIFS(Budget[[#All],[Debit]],Budget[[#All],[Month]],B2,D9:D686,B6)))</f>
        <v>821.98</v>
      </c>
    </row>
    <row r="4" spans="1:20" x14ac:dyDescent="0.45">
      <c r="A4" s="3"/>
      <c r="B4" s="15" t="s">
        <v>16</v>
      </c>
      <c r="C4" s="34">
        <f>SUMIFS(Budget[[#All],[Debit]],A9:A686,B2,Budget[[#All],[Category]],B4)</f>
        <v>164.11</v>
      </c>
      <c r="D4" s="37">
        <v>150</v>
      </c>
      <c r="E4" s="41">
        <f>SUM(C4:C6)/C3</f>
        <v>0.50771159797157484</v>
      </c>
      <c r="F4" t="s">
        <v>9</v>
      </c>
      <c r="G4" s="5">
        <f>SUMIFS(Budget[[#All],[Debit]],Budget[[#All],[Category]],F4)+SUMIFS(Budget[[#All],[Debit]],Budget[[#All],[Category]],F7)</f>
        <v>8058.62</v>
      </c>
    </row>
    <row r="5" spans="1:20" x14ac:dyDescent="0.45">
      <c r="A5" s="3"/>
      <c r="B5" s="15" t="s">
        <v>39</v>
      </c>
      <c r="C5" s="34">
        <f>SUMIFS(Budget[[#All],[Debit]],Budget[[#All],[Month]],B2,Budget[[#All],[Category]],B5)</f>
        <v>143.77000000000001</v>
      </c>
      <c r="D5" s="37">
        <v>200</v>
      </c>
      <c r="E5" s="3"/>
      <c r="F5" t="s">
        <v>31</v>
      </c>
      <c r="G5" s="9">
        <f>SUMIFS(Budget[[#All],[Debit]],Budget[[#All],[Month]],B2,Budget[[#All],[Category]],Table5[[#This Row],[BAL]])</f>
        <v>1039.0999999999999</v>
      </c>
      <c r="K5" t="e" vm="1">
        <f>_xleta.OR</f>
        <v>#VALUE!</v>
      </c>
    </row>
    <row r="6" spans="1:20" ht="14.65" thickBot="1" x14ac:dyDescent="0.5">
      <c r="A6" s="3"/>
      <c r="B6" s="16" t="s">
        <v>13</v>
      </c>
      <c r="C6" s="35">
        <f>SUMIFS(Budget[[#All],[Debit]],Budget[[#All],[Month]],B2,Budget[[#All],[Category]],B6)</f>
        <v>514.1</v>
      </c>
      <c r="D6" s="38">
        <v>200</v>
      </c>
      <c r="E6" s="3"/>
      <c r="F6" t="s">
        <v>33</v>
      </c>
      <c r="G6" s="12">
        <f>(SUMIFS(Budget[[#All],[Income]],Budget[[#All],[Category]],B3))-(SUMIFS(Budget[[#All],[Debit]],Budget[[#All],[Category]],F4))-(SUMIFS(Budget[[#All],[Debit]],Budget[[#All],[Category]],F5))+(SUMIFS(Budget[[#All],[Income]],Budget[[#All],[Category]],G7))</f>
        <v>353.33000000000175</v>
      </c>
    </row>
    <row r="7" spans="1:20" x14ac:dyDescent="0.45">
      <c r="A7" s="3"/>
      <c r="B7" s="3"/>
      <c r="C7" s="3"/>
      <c r="D7" s="3"/>
      <c r="E7" s="3"/>
      <c r="F7" t="s">
        <v>35</v>
      </c>
      <c r="G7" t="s">
        <v>100</v>
      </c>
    </row>
    <row r="9" spans="1:20" x14ac:dyDescent="0.45">
      <c r="A9" t="s">
        <v>0</v>
      </c>
      <c r="B9" s="1" t="s">
        <v>1</v>
      </c>
      <c r="C9" t="s">
        <v>2</v>
      </c>
      <c r="D9" t="s">
        <v>3</v>
      </c>
      <c r="E9" s="2" t="s">
        <v>4</v>
      </c>
      <c r="F9" s="2" t="s">
        <v>5</v>
      </c>
      <c r="G9" s="2" t="s">
        <v>6</v>
      </c>
    </row>
    <row r="10" spans="1:20" x14ac:dyDescent="0.45">
      <c r="A10">
        <f>MONTH(Budget[[#This Row],[Date]])</f>
        <v>7</v>
      </c>
      <c r="B10" s="1">
        <v>45482</v>
      </c>
      <c r="C10" t="s">
        <v>7</v>
      </c>
      <c r="D10" s="13" t="s">
        <v>4</v>
      </c>
      <c r="E10" s="33">
        <v>400</v>
      </c>
      <c r="G10" s="2">
        <f>E$10</f>
        <v>400</v>
      </c>
    </row>
    <row r="11" spans="1:20" x14ac:dyDescent="0.45">
      <c r="A11">
        <f>MONTH(Budget[[#This Row],[Date]])</f>
        <v>7</v>
      </c>
      <c r="B11" s="1">
        <v>45483</v>
      </c>
      <c r="C11" t="s">
        <v>8</v>
      </c>
      <c r="D11" s="32" t="s">
        <v>9</v>
      </c>
      <c r="F11" s="11">
        <v>300</v>
      </c>
      <c r="G11" s="2">
        <f>SUM(G10+Budget[[#This Row],[Income]]-Budget[[#This Row],[Debit]])</f>
        <v>100</v>
      </c>
    </row>
    <row r="12" spans="1:20" x14ac:dyDescent="0.45">
      <c r="A12">
        <f>MONTH(Budget[[#This Row],[Date]])</f>
        <v>7</v>
      </c>
      <c r="B12" s="1">
        <v>45483</v>
      </c>
      <c r="C12" t="s">
        <v>12</v>
      </c>
      <c r="D12" t="s">
        <v>13</v>
      </c>
      <c r="F12" s="10">
        <v>3.22</v>
      </c>
      <c r="G12" s="2">
        <f>SUM(G11+Budget[[#This Row],[Income]]-Budget[[#This Row],[Debit]])</f>
        <v>96.78</v>
      </c>
      <c r="R12"/>
      <c r="T12"/>
    </row>
    <row r="13" spans="1:20" x14ac:dyDescent="0.45">
      <c r="A13">
        <f>MONTH(Budget[[#This Row],[Date]])</f>
        <v>7</v>
      </c>
      <c r="B13" s="1">
        <v>45484</v>
      </c>
      <c r="C13" t="s">
        <v>14</v>
      </c>
      <c r="D13" s="13" t="s">
        <v>15</v>
      </c>
      <c r="E13" s="7">
        <v>100</v>
      </c>
      <c r="G13" s="2">
        <f>SUM(G12+Budget[[#This Row],[Income]]-Budget[[#This Row],[Debit]])</f>
        <v>196.78</v>
      </c>
    </row>
    <row r="14" spans="1:20" x14ac:dyDescent="0.45">
      <c r="A14">
        <f>MONTH(Budget[[#This Row],[Date]])</f>
        <v>7</v>
      </c>
      <c r="B14" s="1">
        <v>45484</v>
      </c>
      <c r="C14" t="s">
        <v>17</v>
      </c>
      <c r="D14" s="13" t="s">
        <v>4</v>
      </c>
      <c r="E14" s="33">
        <v>1145.25</v>
      </c>
      <c r="G14" s="2">
        <f>SUM(G13+Budget[[#This Row],[Income]]-Budget[[#This Row],[Debit]])</f>
        <v>1342.03</v>
      </c>
    </row>
    <row r="15" spans="1:20" x14ac:dyDescent="0.45">
      <c r="A15">
        <f>MONTH(Budget[[#This Row],[Date]])</f>
        <v>7</v>
      </c>
      <c r="B15" s="1">
        <v>45484</v>
      </c>
      <c r="C15" t="s">
        <v>8</v>
      </c>
      <c r="D15" s="32" t="s">
        <v>9</v>
      </c>
      <c r="F15" s="11">
        <v>1000</v>
      </c>
      <c r="G15" s="2">
        <f>SUM(G14+Budget[[#This Row],[Income]]-Budget[[#This Row],[Debit]])</f>
        <v>342.03</v>
      </c>
    </row>
    <row r="16" spans="1:20" x14ac:dyDescent="0.45">
      <c r="A16">
        <f>MONTH(Budget[[#This Row],[Date]])</f>
        <v>7</v>
      </c>
      <c r="B16" s="1">
        <v>45492</v>
      </c>
      <c r="C16" t="s">
        <v>18</v>
      </c>
      <c r="D16" t="s">
        <v>16</v>
      </c>
      <c r="F16" s="10">
        <v>38.29</v>
      </c>
      <c r="G16" s="2">
        <f>SUM(G15+Budget[[#This Row],[Income]]-Budget[[#This Row],[Debit]])</f>
        <v>303.73999999999995</v>
      </c>
    </row>
    <row r="17" spans="1:7" x14ac:dyDescent="0.45">
      <c r="A17">
        <f>MONTH(Budget[[#This Row],[Date]])</f>
        <v>7</v>
      </c>
      <c r="B17" s="1">
        <v>45495</v>
      </c>
      <c r="C17" t="s">
        <v>19</v>
      </c>
      <c r="D17" t="s">
        <v>13</v>
      </c>
      <c r="F17" s="10">
        <v>4.0599999999999996</v>
      </c>
      <c r="G17" s="2">
        <f>SUM(G16+Budget[[#This Row],[Income]]-Budget[[#This Row],[Debit]])</f>
        <v>299.67999999999995</v>
      </c>
    </row>
    <row r="18" spans="1:7" x14ac:dyDescent="0.45">
      <c r="A18">
        <f>MONTH(Budget[[#This Row],[Date]])</f>
        <v>7</v>
      </c>
      <c r="B18" s="1">
        <v>45497</v>
      </c>
      <c r="C18" t="s">
        <v>24</v>
      </c>
      <c r="D18" t="s">
        <v>39</v>
      </c>
      <c r="F18" s="10">
        <v>25.98</v>
      </c>
      <c r="G18" s="2">
        <f>SUM(G17+Budget[[#This Row],[Income]]-Budget[[#This Row],[Debit]])</f>
        <v>273.69999999999993</v>
      </c>
    </row>
    <row r="19" spans="1:7" x14ac:dyDescent="0.45">
      <c r="A19">
        <f>MONTH(Budget[[#This Row],[Date]])</f>
        <v>7</v>
      </c>
      <c r="B19" s="1">
        <v>45498</v>
      </c>
      <c r="C19" t="s">
        <v>17</v>
      </c>
      <c r="D19" s="13" t="s">
        <v>4</v>
      </c>
      <c r="E19" s="33">
        <v>999.28</v>
      </c>
      <c r="G19" s="2">
        <f>SUM(G18+Budget[[#This Row],[Income]]-Budget[[#This Row],[Debit]])</f>
        <v>1272.98</v>
      </c>
    </row>
    <row r="20" spans="1:7" x14ac:dyDescent="0.45">
      <c r="A20">
        <f>MONTH(Budget[[#This Row],[Date]])</f>
        <v>7</v>
      </c>
      <c r="B20" s="1">
        <v>45498</v>
      </c>
      <c r="C20" t="s">
        <v>8</v>
      </c>
      <c r="D20" s="32" t="s">
        <v>9</v>
      </c>
      <c r="F20" s="11">
        <v>1000</v>
      </c>
      <c r="G20" s="2">
        <f>SUM(G19+Budget[[#This Row],[Income]]-Budget[[#This Row],[Debit]])</f>
        <v>272.98</v>
      </c>
    </row>
    <row r="21" spans="1:7" x14ac:dyDescent="0.45">
      <c r="A21">
        <f>MONTH(Budget[[#This Row],[Date]])</f>
        <v>7</v>
      </c>
      <c r="B21" s="1">
        <v>45499</v>
      </c>
      <c r="C21" t="s">
        <v>17</v>
      </c>
      <c r="D21" s="13" t="s">
        <v>4</v>
      </c>
      <c r="E21" s="33">
        <v>711.57</v>
      </c>
      <c r="G21" s="2">
        <f>SUM(G20+Budget[[#This Row],[Income]]-Budget[[#This Row],[Debit]])</f>
        <v>984.55000000000007</v>
      </c>
    </row>
    <row r="22" spans="1:7" x14ac:dyDescent="0.45">
      <c r="A22">
        <f>MONTH(Budget[[#This Row],[Date]])</f>
        <v>7</v>
      </c>
      <c r="B22" s="1">
        <v>45501</v>
      </c>
      <c r="C22" t="s">
        <v>8</v>
      </c>
      <c r="D22" s="32" t="s">
        <v>9</v>
      </c>
      <c r="F22" s="11">
        <v>650</v>
      </c>
      <c r="G22" s="2">
        <f>SUM(G21+Budget[[#This Row],[Income]]-Budget[[#This Row],[Debit]])</f>
        <v>334.55000000000007</v>
      </c>
    </row>
    <row r="23" spans="1:7" x14ac:dyDescent="0.45">
      <c r="A23">
        <f>MONTH(Budget[[#This Row],[Date]])</f>
        <v>7</v>
      </c>
      <c r="B23" s="1">
        <v>45501</v>
      </c>
      <c r="C23" t="s">
        <v>25</v>
      </c>
      <c r="D23" t="s">
        <v>13</v>
      </c>
      <c r="F23" s="2">
        <v>30.29</v>
      </c>
      <c r="G23" s="2">
        <f>SUM(G22+Budget[[#This Row],[Income]]-Budget[[#This Row],[Debit]])</f>
        <v>304.26000000000005</v>
      </c>
    </row>
    <row r="24" spans="1:7" x14ac:dyDescent="0.45">
      <c r="A24">
        <f>MONTH(Budget[[#This Row],[Date]])</f>
        <v>7</v>
      </c>
      <c r="B24" s="1">
        <v>45501</v>
      </c>
      <c r="C24" t="s">
        <v>26</v>
      </c>
      <c r="D24" t="s">
        <v>39</v>
      </c>
      <c r="F24" s="2">
        <v>16.88</v>
      </c>
      <c r="G24" s="2">
        <f>SUM(G23+Budget[[#This Row],[Income]]-Budget[[#This Row],[Debit]])</f>
        <v>287.38000000000005</v>
      </c>
    </row>
    <row r="25" spans="1:7" x14ac:dyDescent="0.45">
      <c r="A25">
        <f>MONTH(Budget[[#This Row],[Date]])</f>
        <v>7</v>
      </c>
      <c r="B25" s="1">
        <v>45501</v>
      </c>
      <c r="C25" t="s">
        <v>27</v>
      </c>
      <c r="D25" t="s">
        <v>39</v>
      </c>
      <c r="F25" s="2">
        <v>6.98</v>
      </c>
      <c r="G25" s="2">
        <f>SUM(G24+Budget[[#This Row],[Income]]-Budget[[#This Row],[Debit]])</f>
        <v>280.40000000000003</v>
      </c>
    </row>
    <row r="26" spans="1:7" ht="14.65" thickBot="1" x14ac:dyDescent="0.5">
      <c r="A26" s="23">
        <f>MONTH(Budget[[#This Row],[Date]])</f>
        <v>7</v>
      </c>
      <c r="B26" s="24">
        <v>45504</v>
      </c>
      <c r="C26" s="23" t="s">
        <v>32</v>
      </c>
      <c r="D26" s="25" t="s">
        <v>35</v>
      </c>
      <c r="E26" s="26"/>
      <c r="F26" s="25">
        <v>4.25</v>
      </c>
      <c r="G26" s="26">
        <f>SUM(G25+Budget[[#This Row],[Income]]-Budget[[#This Row],[Debit]])</f>
        <v>276.15000000000003</v>
      </c>
    </row>
    <row r="27" spans="1:7" ht="14.65" thickTop="1" x14ac:dyDescent="0.45">
      <c r="A27">
        <f>MONTH(Budget[[#This Row],[Date]])</f>
        <v>8</v>
      </c>
      <c r="B27" s="1">
        <v>45505</v>
      </c>
      <c r="C27" t="s">
        <v>30</v>
      </c>
      <c r="D27" s="8" t="s">
        <v>29</v>
      </c>
      <c r="F27" s="9">
        <v>25.7</v>
      </c>
      <c r="G27" s="2">
        <f>SUM(G25+Budget[[#This Row],[Income]]-Budget[[#This Row],[Debit]])</f>
        <v>254.70000000000005</v>
      </c>
    </row>
    <row r="28" spans="1:7" x14ac:dyDescent="0.45">
      <c r="A28">
        <f>MONTH(Budget[[#This Row],[Date]])</f>
        <v>8</v>
      </c>
      <c r="B28" s="1">
        <v>45505</v>
      </c>
      <c r="C28" t="s">
        <v>28</v>
      </c>
      <c r="D28" t="s">
        <v>39</v>
      </c>
      <c r="F28" s="2">
        <v>12.32</v>
      </c>
      <c r="G28" s="2">
        <f>SUM(G27+Budget[[#This Row],[Income]]-Budget[[#This Row],[Debit]])</f>
        <v>242.38000000000005</v>
      </c>
    </row>
    <row r="29" spans="1:7" x14ac:dyDescent="0.45">
      <c r="A29">
        <f>MONTH(Budget[[#This Row],[Date]])</f>
        <v>8</v>
      </c>
      <c r="B29" s="1">
        <v>45505</v>
      </c>
      <c r="C29" t="s">
        <v>18</v>
      </c>
      <c r="D29" t="s">
        <v>16</v>
      </c>
      <c r="F29" s="2">
        <v>37.97</v>
      </c>
      <c r="G29" s="2">
        <f>SUM(G28+Budget[[#This Row],[Income]]-Budget[[#This Row],[Debit]])</f>
        <v>204.41000000000005</v>
      </c>
    </row>
    <row r="30" spans="1:7" x14ac:dyDescent="0.45">
      <c r="A30">
        <f>MONTH(Budget[[#This Row],[Date]])</f>
        <v>8</v>
      </c>
      <c r="B30" s="1">
        <v>45506</v>
      </c>
      <c r="C30" t="s">
        <v>34</v>
      </c>
      <c r="D30" t="s">
        <v>39</v>
      </c>
      <c r="F30" s="2">
        <v>111.64</v>
      </c>
      <c r="G30" s="2">
        <f>SUM(G29+Budget[[#This Row],[Income]]-Budget[[#This Row],[Debit]])</f>
        <v>92.770000000000053</v>
      </c>
    </row>
    <row r="31" spans="1:7" x14ac:dyDescent="0.45">
      <c r="A31">
        <f>MONTH(Budget[[#This Row],[Date]])</f>
        <v>8</v>
      </c>
      <c r="B31" s="1">
        <v>45508</v>
      </c>
      <c r="C31" t="s">
        <v>18</v>
      </c>
      <c r="D31" t="s">
        <v>16</v>
      </c>
      <c r="F31" s="2">
        <v>32.57</v>
      </c>
      <c r="G31" s="2">
        <f>SUM(G30+Budget[[#This Row],[Income]]-Budget[[#This Row],[Debit]])</f>
        <v>60.200000000000053</v>
      </c>
    </row>
    <row r="32" spans="1:7" x14ac:dyDescent="0.45">
      <c r="A32">
        <f>MONTH(Budget[[#This Row],[Date]])</f>
        <v>8</v>
      </c>
      <c r="B32" s="1">
        <v>45512</v>
      </c>
      <c r="C32" t="s">
        <v>36</v>
      </c>
      <c r="D32" t="s">
        <v>39</v>
      </c>
      <c r="F32" s="2">
        <v>5.89</v>
      </c>
      <c r="G32" s="2">
        <f>SUM(G31+Budget[[#This Row],[Income]]-Budget[[#This Row],[Debit]])</f>
        <v>54.310000000000052</v>
      </c>
    </row>
    <row r="33" spans="1:7" x14ac:dyDescent="0.45">
      <c r="A33">
        <f>MONTH(Budget[[#This Row],[Date]])</f>
        <v>8</v>
      </c>
      <c r="B33" s="1">
        <v>45512</v>
      </c>
      <c r="C33" t="s">
        <v>17</v>
      </c>
      <c r="D33" s="13" t="s">
        <v>4</v>
      </c>
      <c r="E33" s="33">
        <v>1288.67</v>
      </c>
      <c r="G33" s="2">
        <f>SUM(G32+Budget[[#This Row],[Income]]-Budget[[#This Row],[Debit]])</f>
        <v>1342.98</v>
      </c>
    </row>
    <row r="34" spans="1:7" x14ac:dyDescent="0.45">
      <c r="A34">
        <f>MONTH(Budget[[#This Row],[Date]])</f>
        <v>8</v>
      </c>
      <c r="B34" s="1">
        <v>45514</v>
      </c>
      <c r="C34" t="s">
        <v>8</v>
      </c>
      <c r="D34" s="32" t="s">
        <v>9</v>
      </c>
      <c r="F34" s="11">
        <v>1100</v>
      </c>
      <c r="G34" s="2">
        <f>SUM(G33+Budget[[#This Row],[Income]]-Budget[[#This Row],[Debit]])</f>
        <v>242.98000000000002</v>
      </c>
    </row>
    <row r="35" spans="1:7" x14ac:dyDescent="0.45">
      <c r="A35">
        <f>MONTH(Budget[[#This Row],[Date]])</f>
        <v>8</v>
      </c>
      <c r="B35" s="1">
        <v>45514</v>
      </c>
      <c r="C35" t="s">
        <v>18</v>
      </c>
      <c r="D35" t="s">
        <v>16</v>
      </c>
      <c r="F35" s="2">
        <v>41.35</v>
      </c>
      <c r="G35" s="2">
        <f>SUM(G34+Budget[[#This Row],[Income]]-Budget[[#This Row],[Debit]])</f>
        <v>201.63000000000002</v>
      </c>
    </row>
    <row r="36" spans="1:7" x14ac:dyDescent="0.45">
      <c r="A36">
        <f>MONTH(Budget[[#This Row],[Date]])</f>
        <v>8</v>
      </c>
      <c r="B36" s="1">
        <v>45514</v>
      </c>
      <c r="C36" t="s">
        <v>37</v>
      </c>
      <c r="D36" t="s">
        <v>13</v>
      </c>
      <c r="F36" s="2">
        <v>10.88</v>
      </c>
      <c r="G36" s="2">
        <f>SUM(G35+Budget[[#This Row],[Income]]-Budget[[#This Row],[Debit]])</f>
        <v>190.75000000000003</v>
      </c>
    </row>
    <row r="37" spans="1:7" x14ac:dyDescent="0.45">
      <c r="A37">
        <f>MONTH(Budget[[#This Row],[Date]])</f>
        <v>8</v>
      </c>
      <c r="B37" s="1">
        <v>45514</v>
      </c>
      <c r="C37" t="s">
        <v>38</v>
      </c>
      <c r="D37" t="s">
        <v>13</v>
      </c>
      <c r="F37" s="2">
        <v>34.46</v>
      </c>
      <c r="G37" s="2">
        <f>SUM(G36+Budget[[#This Row],[Income]]-Budget[[#This Row],[Debit]])</f>
        <v>156.29000000000002</v>
      </c>
    </row>
    <row r="38" spans="1:7" x14ac:dyDescent="0.45">
      <c r="A38">
        <f>MONTH(Budget[[#This Row],[Date]])</f>
        <v>8</v>
      </c>
      <c r="B38" s="1">
        <v>45515</v>
      </c>
      <c r="C38" t="s">
        <v>40</v>
      </c>
      <c r="D38" t="s">
        <v>39</v>
      </c>
      <c r="F38" s="2">
        <v>126</v>
      </c>
      <c r="G38" s="2">
        <f>SUM(G37+Budget[[#This Row],[Income]]-Budget[[#This Row],[Debit]])</f>
        <v>30.29000000000002</v>
      </c>
    </row>
    <row r="39" spans="1:7" x14ac:dyDescent="0.45">
      <c r="A39">
        <f>MONTH(Budget[[#This Row],[Date]])</f>
        <v>8</v>
      </c>
      <c r="B39" s="1">
        <v>45521</v>
      </c>
      <c r="C39" t="s">
        <v>41</v>
      </c>
      <c r="D39" s="8" t="s">
        <v>29</v>
      </c>
      <c r="F39" s="9">
        <v>413.08</v>
      </c>
      <c r="G39" s="2">
        <f>SUM(G38+Budget[[#This Row],[Income]]-Budget[[#This Row],[Debit]])</f>
        <v>-382.78999999999996</v>
      </c>
    </row>
    <row r="40" spans="1:7" x14ac:dyDescent="0.45">
      <c r="A40">
        <f>MONTH(Budget[[#This Row],[Date]])</f>
        <v>8</v>
      </c>
      <c r="B40" s="21">
        <v>45519</v>
      </c>
      <c r="C40" s="20" t="s">
        <v>18</v>
      </c>
      <c r="D40" s="20" t="s">
        <v>16</v>
      </c>
      <c r="E40" s="22"/>
      <c r="F40" s="22">
        <v>50.57</v>
      </c>
      <c r="G40" s="2">
        <f>SUM(G39+Budget[[#This Row],[Income]]-Budget[[#This Row],[Debit]])</f>
        <v>-433.35999999999996</v>
      </c>
    </row>
    <row r="41" spans="1:7" x14ac:dyDescent="0.45">
      <c r="A41">
        <f>MONTH(Budget[[#This Row],[Date]])</f>
        <v>8</v>
      </c>
      <c r="B41" s="1">
        <v>45522</v>
      </c>
      <c r="C41" t="s">
        <v>42</v>
      </c>
      <c r="D41" t="s">
        <v>39</v>
      </c>
      <c r="F41" s="2">
        <v>186.96</v>
      </c>
      <c r="G41" s="2">
        <f>SUM(G40+Budget[[#This Row],[Income]]-Budget[[#This Row],[Debit]])</f>
        <v>-620.31999999999994</v>
      </c>
    </row>
    <row r="42" spans="1:7" x14ac:dyDescent="0.45">
      <c r="A42">
        <f>MONTH(Budget[[#This Row],[Date]])</f>
        <v>8</v>
      </c>
      <c r="B42" s="1">
        <v>45522</v>
      </c>
      <c r="C42" t="s">
        <v>18</v>
      </c>
      <c r="D42" t="s">
        <v>16</v>
      </c>
      <c r="F42" s="2">
        <v>37.82</v>
      </c>
      <c r="G42" s="2">
        <f>SUM(G41+Budget[[#This Row],[Income]]-Budget[[#This Row],[Debit]])</f>
        <v>-658.14</v>
      </c>
    </row>
    <row r="43" spans="1:7" x14ac:dyDescent="0.45">
      <c r="A43">
        <f>MONTH(Budget[[#This Row],[Date]])</f>
        <v>8</v>
      </c>
      <c r="B43" s="1">
        <v>45526</v>
      </c>
      <c r="C43" t="s">
        <v>17</v>
      </c>
      <c r="D43" s="13" t="s">
        <v>4</v>
      </c>
      <c r="E43" s="33">
        <v>1306.4000000000001</v>
      </c>
      <c r="G43" s="2">
        <f>SUM(G42+Budget[[#This Row],[Income]]-Budget[[#This Row],[Debit]])</f>
        <v>648.2600000000001</v>
      </c>
    </row>
    <row r="44" spans="1:7" x14ac:dyDescent="0.45">
      <c r="A44">
        <f>MONTH(Budget[[#This Row],[Date]])</f>
        <v>8</v>
      </c>
      <c r="B44" s="1">
        <v>45528</v>
      </c>
      <c r="C44" t="s">
        <v>8</v>
      </c>
      <c r="D44" s="32" t="s">
        <v>9</v>
      </c>
      <c r="F44" s="11">
        <v>1000</v>
      </c>
      <c r="G44" s="2">
        <f>SUM(G43+Budget[[#This Row],[Income]]-Budget[[#This Row],[Debit]])</f>
        <v>-351.7399999999999</v>
      </c>
    </row>
    <row r="45" spans="1:7" x14ac:dyDescent="0.45">
      <c r="A45">
        <f>MONTH(Budget[[#This Row],[Date]])</f>
        <v>8</v>
      </c>
      <c r="B45" s="1">
        <v>45530</v>
      </c>
      <c r="C45" t="s">
        <v>18</v>
      </c>
      <c r="D45" t="s">
        <v>13</v>
      </c>
      <c r="F45" s="2">
        <v>41.46</v>
      </c>
      <c r="G45" s="2">
        <f>SUM(G44+Budget[[#This Row],[Income]]-Budget[[#This Row],[Debit]])</f>
        <v>-393.19999999999987</v>
      </c>
    </row>
    <row r="46" spans="1:7" x14ac:dyDescent="0.45">
      <c r="A46">
        <f>MONTH(Budget[[#This Row],[Date]])</f>
        <v>8</v>
      </c>
      <c r="B46" s="1">
        <v>45535</v>
      </c>
      <c r="C46" t="s">
        <v>32</v>
      </c>
      <c r="D46" s="32" t="s">
        <v>35</v>
      </c>
      <c r="F46" s="11">
        <v>14.13</v>
      </c>
      <c r="G46" s="2">
        <f>SUM(G45+Budget[[#This Row],[Income]]-Budget[[#This Row],[Debit]])</f>
        <v>-407.32999999999987</v>
      </c>
    </row>
    <row r="47" spans="1:7" ht="14.65" thickBot="1" x14ac:dyDescent="0.5">
      <c r="A47" s="27">
        <f>MONTH(Budget[[#This Row],[Date]])</f>
        <v>8</v>
      </c>
      <c r="B47" s="28">
        <v>45535</v>
      </c>
      <c r="C47" s="27" t="s">
        <v>51</v>
      </c>
      <c r="D47" s="27" t="s">
        <v>13</v>
      </c>
      <c r="E47" s="29"/>
      <c r="F47" s="29">
        <v>22.66</v>
      </c>
      <c r="G47" s="29">
        <f>SUM(G45+Budget[[#This Row],[Income]]-Budget[[#This Row],[Debit]])</f>
        <v>-415.8599999999999</v>
      </c>
    </row>
    <row r="48" spans="1:7" ht="14.65" thickTop="1" x14ac:dyDescent="0.45">
      <c r="A48">
        <f>MONTH(Budget[[#This Row],[Date]])</f>
        <v>9</v>
      </c>
      <c r="B48" s="1">
        <v>45537</v>
      </c>
      <c r="C48" t="s">
        <v>43</v>
      </c>
      <c r="D48" s="8" t="s">
        <v>29</v>
      </c>
      <c r="F48" s="9">
        <v>316.81</v>
      </c>
      <c r="G48" s="2">
        <f>SUM(G47+Budget[[#This Row],[Income]]-Budget[[#This Row],[Debit]])</f>
        <v>-732.66999999999985</v>
      </c>
    </row>
    <row r="49" spans="1:7" x14ac:dyDescent="0.45">
      <c r="A49">
        <f>MONTH(Budget[[#This Row],[Date]])</f>
        <v>9</v>
      </c>
      <c r="B49" s="1">
        <v>45537</v>
      </c>
      <c r="C49" t="s">
        <v>44</v>
      </c>
      <c r="D49" t="s">
        <v>39</v>
      </c>
      <c r="F49" s="2">
        <v>6.17</v>
      </c>
      <c r="G49" s="2">
        <f>SUM(G48+Budget[[#This Row],[Income]]-Budget[[#This Row],[Debit]])</f>
        <v>-738.8399999999998</v>
      </c>
    </row>
    <row r="50" spans="1:7" x14ac:dyDescent="0.45">
      <c r="A50">
        <f>MONTH(Budget[[#This Row],[Date]])</f>
        <v>9</v>
      </c>
      <c r="B50" s="1">
        <v>45540</v>
      </c>
      <c r="C50" t="s">
        <v>17</v>
      </c>
      <c r="D50" s="13" t="s">
        <v>4</v>
      </c>
      <c r="E50" s="33">
        <v>700.33</v>
      </c>
      <c r="G50" s="2">
        <f>SUM(G49+Budget[[#This Row],[Income]]-Budget[[#This Row],[Debit]])</f>
        <v>-38.509999999999764</v>
      </c>
    </row>
    <row r="51" spans="1:7" x14ac:dyDescent="0.45">
      <c r="A51">
        <f>MONTH(Budget[[#This Row],[Date]])</f>
        <v>9</v>
      </c>
      <c r="B51" s="1">
        <v>45542</v>
      </c>
      <c r="C51" t="s">
        <v>45</v>
      </c>
      <c r="D51" t="s">
        <v>13</v>
      </c>
      <c r="F51" s="2">
        <v>9.17</v>
      </c>
      <c r="G51" s="2">
        <f>SUM(G50+Budget[[#This Row],[Income]]-Budget[[#This Row],[Debit]])</f>
        <v>-47.679999999999765</v>
      </c>
    </row>
    <row r="52" spans="1:7" x14ac:dyDescent="0.45">
      <c r="A52">
        <f>MONTH(Budget[[#This Row],[Date]])</f>
        <v>9</v>
      </c>
      <c r="B52" s="1">
        <v>45546</v>
      </c>
      <c r="C52" t="s">
        <v>18</v>
      </c>
      <c r="D52" t="s">
        <v>16</v>
      </c>
      <c r="F52" s="2">
        <v>43.95</v>
      </c>
      <c r="G52" s="2">
        <f>SUM(G51+Budget[[#This Row],[Income]]-Budget[[#This Row],[Debit]])</f>
        <v>-91.629999999999768</v>
      </c>
    </row>
    <row r="53" spans="1:7" x14ac:dyDescent="0.45">
      <c r="A53">
        <f>MONTH(Budget[[#This Row],[Date]])</f>
        <v>9</v>
      </c>
      <c r="B53" s="1">
        <v>45554</v>
      </c>
      <c r="C53" t="s">
        <v>18</v>
      </c>
      <c r="D53" t="s">
        <v>16</v>
      </c>
      <c r="F53" s="2">
        <v>43.58</v>
      </c>
      <c r="G53" s="2">
        <f>SUM(G52+Budget[[#This Row],[Income]]-Budget[[#This Row],[Debit]])</f>
        <v>-135.20999999999975</v>
      </c>
    </row>
    <row r="54" spans="1:7" x14ac:dyDescent="0.45">
      <c r="A54">
        <f>MONTH(Budget[[#This Row],[Date]])</f>
        <v>9</v>
      </c>
      <c r="B54" s="1">
        <v>45554</v>
      </c>
      <c r="C54" t="s">
        <v>17</v>
      </c>
      <c r="D54" s="13" t="s">
        <v>4</v>
      </c>
      <c r="E54" s="33">
        <v>642.70000000000005</v>
      </c>
      <c r="G54" s="2">
        <f>SUM(G53+Budget[[#This Row],[Income]]-Budget[[#This Row],[Debit]])</f>
        <v>507.49000000000029</v>
      </c>
    </row>
    <row r="55" spans="1:7" x14ac:dyDescent="0.45">
      <c r="A55">
        <f>MONTH(Budget[[#This Row],[Date]])</f>
        <v>9</v>
      </c>
      <c r="B55" s="1">
        <v>45554</v>
      </c>
      <c r="C55" t="s">
        <v>8</v>
      </c>
      <c r="D55" s="32" t="s">
        <v>9</v>
      </c>
      <c r="F55" s="11">
        <v>1000</v>
      </c>
      <c r="G55" s="2">
        <f>SUM(G54+Budget[[#This Row],[Income]]-Budget[[#This Row],[Debit]])</f>
        <v>-492.50999999999971</v>
      </c>
    </row>
    <row r="56" spans="1:7" x14ac:dyDescent="0.45">
      <c r="A56">
        <f>MONTH(Budget[[#This Row],[Date]])</f>
        <v>9</v>
      </c>
      <c r="B56" s="1">
        <v>45554</v>
      </c>
      <c r="C56" t="s">
        <v>46</v>
      </c>
      <c r="D56" s="8" t="s">
        <v>29</v>
      </c>
      <c r="F56" s="9">
        <v>81.95</v>
      </c>
      <c r="G56" s="2">
        <f>SUM(G55+Budget[[#This Row],[Income]]-Budget[[#This Row],[Debit]])</f>
        <v>-574.4599999999997</v>
      </c>
    </row>
    <row r="57" spans="1:7" x14ac:dyDescent="0.45">
      <c r="A57">
        <f>MONTH(Budget[[#This Row],[Date]])</f>
        <v>9</v>
      </c>
      <c r="B57" s="1">
        <v>45560</v>
      </c>
      <c r="C57" t="s">
        <v>47</v>
      </c>
      <c r="D57" t="s">
        <v>13</v>
      </c>
      <c r="F57" s="2">
        <v>5</v>
      </c>
      <c r="G57" s="2">
        <f>SUM(G56+Budget[[#This Row],[Income]]-Budget[[#This Row],[Debit]])</f>
        <v>-579.4599999999997</v>
      </c>
    </row>
    <row r="58" spans="1:7" ht="14.65" thickBot="1" x14ac:dyDescent="0.5">
      <c r="A58" s="27">
        <f>MONTH(Budget[[#This Row],[Date]])</f>
        <v>9</v>
      </c>
      <c r="B58" s="28">
        <v>45565</v>
      </c>
      <c r="C58" s="27" t="s">
        <v>32</v>
      </c>
      <c r="D58" s="31" t="s">
        <v>35</v>
      </c>
      <c r="E58" s="29"/>
      <c r="F58" s="30">
        <v>18.489999999999998</v>
      </c>
      <c r="G58" s="29">
        <f>SUM(G57+Budget[[#This Row],[Income]]-Budget[[#This Row],[Debit]])</f>
        <v>-597.9499999999997</v>
      </c>
    </row>
    <row r="59" spans="1:7" ht="14.65" thickTop="1" x14ac:dyDescent="0.45">
      <c r="A59">
        <f>MONTH(Budget[[#This Row],[Date]])</f>
        <v>10</v>
      </c>
      <c r="B59" s="1">
        <v>45566</v>
      </c>
      <c r="C59" t="s">
        <v>48</v>
      </c>
      <c r="D59" t="s">
        <v>39</v>
      </c>
      <c r="F59" s="2">
        <v>5.4</v>
      </c>
      <c r="G59" s="2">
        <f>SUM(G57+Budget[[#This Row],[Income]]-Budget[[#This Row],[Debit]])</f>
        <v>-584.85999999999967</v>
      </c>
    </row>
    <row r="60" spans="1:7" x14ac:dyDescent="0.45">
      <c r="A60">
        <f>MONTH(Budget[[#This Row],[Date]])</f>
        <v>10</v>
      </c>
      <c r="B60" s="1">
        <v>45567</v>
      </c>
      <c r="C60" t="s">
        <v>49</v>
      </c>
      <c r="D60" s="8" t="s">
        <v>29</v>
      </c>
      <c r="F60" s="9">
        <v>48.58</v>
      </c>
      <c r="G60" s="2">
        <f>SUM(G59+Budget[[#This Row],[Income]]-Budget[[#This Row],[Debit]])</f>
        <v>-633.43999999999971</v>
      </c>
    </row>
    <row r="61" spans="1:7" x14ac:dyDescent="0.45">
      <c r="A61">
        <f>MONTH(Budget[[#This Row],[Date]])</f>
        <v>10</v>
      </c>
      <c r="B61" s="1">
        <v>45568</v>
      </c>
      <c r="C61" t="s">
        <v>17</v>
      </c>
      <c r="D61" s="13" t="s">
        <v>4</v>
      </c>
      <c r="E61" s="33">
        <v>698.6</v>
      </c>
      <c r="G61" s="2">
        <f>SUM(G60+Budget[[#This Row],[Income]]-Budget[[#This Row],[Debit]])</f>
        <v>65.160000000000309</v>
      </c>
    </row>
    <row r="62" spans="1:7" x14ac:dyDescent="0.45">
      <c r="A62">
        <f>MONTH(Budget[[#This Row],[Date]])</f>
        <v>10</v>
      </c>
      <c r="B62" s="1">
        <v>45570</v>
      </c>
      <c r="C62" t="s">
        <v>8</v>
      </c>
      <c r="D62" s="32" t="s">
        <v>9</v>
      </c>
      <c r="F62" s="11">
        <v>700</v>
      </c>
      <c r="G62" s="2">
        <f>SUM(G61+Budget[[#This Row],[Income]]-Budget[[#This Row],[Debit]])</f>
        <v>-634.83999999999969</v>
      </c>
    </row>
    <row r="63" spans="1:7" x14ac:dyDescent="0.45">
      <c r="A63">
        <f>MONTH(Budget[[#This Row],[Date]])</f>
        <v>10</v>
      </c>
      <c r="B63" s="1">
        <v>45570</v>
      </c>
      <c r="C63" t="s">
        <v>50</v>
      </c>
      <c r="D63" t="s">
        <v>39</v>
      </c>
      <c r="F63" s="2">
        <v>13.12</v>
      </c>
      <c r="G63" s="2">
        <f>SUM(G62+Budget[[#This Row],[Income]]-Budget[[#This Row],[Debit]])</f>
        <v>-647.9599999999997</v>
      </c>
    </row>
    <row r="64" spans="1:7" x14ac:dyDescent="0.45">
      <c r="A64">
        <f>MONTH(Budget[[#This Row],[Date]])</f>
        <v>10</v>
      </c>
      <c r="B64" s="1">
        <v>45570</v>
      </c>
      <c r="C64" t="s">
        <v>52</v>
      </c>
      <c r="D64" t="s">
        <v>39</v>
      </c>
      <c r="F64" s="2">
        <v>6.77</v>
      </c>
      <c r="G64" s="2">
        <f>SUM(G63+Budget[[#This Row],[Income]]-Budget[[#This Row],[Debit]])</f>
        <v>-654.72999999999968</v>
      </c>
    </row>
    <row r="65" spans="1:7" x14ac:dyDescent="0.45">
      <c r="A65">
        <f>MONTH(Budget[[#This Row],[Date]])</f>
        <v>10</v>
      </c>
      <c r="B65" s="1">
        <v>45572</v>
      </c>
      <c r="C65" t="s">
        <v>53</v>
      </c>
      <c r="D65" t="s">
        <v>39</v>
      </c>
      <c r="F65" s="2">
        <v>11.9</v>
      </c>
      <c r="G65" s="2">
        <f>SUM(G64+Budget[[#This Row],[Income]]-Budget[[#This Row],[Debit]])</f>
        <v>-666.62999999999965</v>
      </c>
    </row>
    <row r="66" spans="1:7" x14ac:dyDescent="0.45">
      <c r="A66">
        <f>MONTH(Budget[[#This Row],[Date]])</f>
        <v>10</v>
      </c>
      <c r="B66" s="1">
        <v>45575</v>
      </c>
      <c r="C66" t="s">
        <v>54</v>
      </c>
      <c r="D66" t="s">
        <v>39</v>
      </c>
      <c r="F66" s="2">
        <v>7.21</v>
      </c>
      <c r="G66" s="2">
        <f>SUM(G65+Budget[[#This Row],[Income]]-Budget[[#This Row],[Debit]])</f>
        <v>-673.83999999999969</v>
      </c>
    </row>
    <row r="67" spans="1:7" x14ac:dyDescent="0.45">
      <c r="A67">
        <f>MONTH(Budget[[#This Row],[Date]])</f>
        <v>10</v>
      </c>
      <c r="B67" s="1">
        <v>45579</v>
      </c>
      <c r="C67" t="s">
        <v>53</v>
      </c>
      <c r="D67" t="s">
        <v>39</v>
      </c>
      <c r="F67" s="45">
        <v>23.79</v>
      </c>
      <c r="G67" s="2">
        <f>SUM(G66+Budget[[#This Row],[Income]]-Budget[[#This Row],[Debit]])</f>
        <v>-697.62999999999965</v>
      </c>
    </row>
    <row r="68" spans="1:7" x14ac:dyDescent="0.45">
      <c r="A68">
        <f>MONTH(Budget[[#This Row],[Date]])</f>
        <v>10</v>
      </c>
      <c r="B68" s="1">
        <v>45582</v>
      </c>
      <c r="C68" t="s">
        <v>55</v>
      </c>
      <c r="D68" t="s">
        <v>13</v>
      </c>
      <c r="F68" s="2">
        <v>90.88</v>
      </c>
      <c r="G68" s="2">
        <f>SUM(G67+Budget[[#This Row],[Income]]-Budget[[#This Row],[Debit]])</f>
        <v>-788.50999999999965</v>
      </c>
    </row>
    <row r="69" spans="1:7" x14ac:dyDescent="0.45">
      <c r="A69">
        <f>MONTH(Budget[[#This Row],[Date]])</f>
        <v>10</v>
      </c>
      <c r="B69" s="1">
        <v>45582</v>
      </c>
      <c r="C69" t="s">
        <v>18</v>
      </c>
      <c r="D69" t="s">
        <v>16</v>
      </c>
      <c r="F69" s="2">
        <v>49.55</v>
      </c>
      <c r="G69" s="2">
        <f>SUM(G68+Budget[[#This Row],[Income]]-Budget[[#This Row],[Debit]])</f>
        <v>-838.0599999999996</v>
      </c>
    </row>
    <row r="70" spans="1:7" x14ac:dyDescent="0.45">
      <c r="A70">
        <f>MONTH(Budget[[#This Row],[Date]])</f>
        <v>10</v>
      </c>
      <c r="B70" s="1">
        <v>45582</v>
      </c>
      <c r="C70" t="s">
        <v>17</v>
      </c>
      <c r="D70" s="13" t="s">
        <v>4</v>
      </c>
      <c r="E70" s="33">
        <v>614.07000000000005</v>
      </c>
      <c r="G70" s="2">
        <f>SUM(G69+Budget[[#This Row],[Income]]-Budget[[#This Row],[Debit]])</f>
        <v>-223.98999999999955</v>
      </c>
    </row>
    <row r="71" spans="1:7" x14ac:dyDescent="0.45">
      <c r="A71">
        <f>MONTH(Budget[[#This Row],[Date]])</f>
        <v>10</v>
      </c>
      <c r="B71" s="1">
        <v>45583</v>
      </c>
      <c r="C71" t="s">
        <v>56</v>
      </c>
      <c r="D71" t="s">
        <v>13</v>
      </c>
      <c r="F71" s="2">
        <v>21.55</v>
      </c>
      <c r="G71" s="2">
        <f>SUM(G69+Budget[[#This Row],[Income]]-Budget[[#This Row],[Debit]])</f>
        <v>-859.60999999999956</v>
      </c>
    </row>
    <row r="72" spans="1:7" x14ac:dyDescent="0.45">
      <c r="A72">
        <f>MONTH(Budget[[#This Row],[Date]])</f>
        <v>10</v>
      </c>
      <c r="B72" s="1">
        <v>45583</v>
      </c>
      <c r="C72" t="s">
        <v>57</v>
      </c>
      <c r="D72" t="s">
        <v>13</v>
      </c>
      <c r="F72" s="2">
        <v>10.8</v>
      </c>
      <c r="G72" s="2">
        <f>SUM(G71+Budget[[#This Row],[Income]]-Budget[[#This Row],[Debit]])</f>
        <v>-870.40999999999951</v>
      </c>
    </row>
    <row r="73" spans="1:7" x14ac:dyDescent="0.45">
      <c r="A73">
        <f>MONTH(Budget[[#This Row],[Date]])</f>
        <v>10</v>
      </c>
      <c r="B73" s="1">
        <v>45583</v>
      </c>
      <c r="C73" t="s">
        <v>58</v>
      </c>
      <c r="D73" s="8" t="s">
        <v>29</v>
      </c>
      <c r="F73" s="9">
        <v>68.19</v>
      </c>
      <c r="G73" s="2">
        <f>SUM(G72+Budget[[#This Row],[Income]]-Budget[[#This Row],[Debit]])</f>
        <v>-938.59999999999945</v>
      </c>
    </row>
    <row r="74" spans="1:7" x14ac:dyDescent="0.45">
      <c r="A74">
        <f>MONTH(Budget[[#This Row],[Date]])</f>
        <v>10</v>
      </c>
      <c r="B74" s="1">
        <v>45587</v>
      </c>
      <c r="C74" t="s">
        <v>59</v>
      </c>
      <c r="D74" t="s">
        <v>39</v>
      </c>
      <c r="F74" s="2">
        <v>7.77</v>
      </c>
      <c r="G74" s="2">
        <f>SUM(G73+Budget[[#This Row],[Income]]-Budget[[#This Row],[Debit]])</f>
        <v>-946.36999999999944</v>
      </c>
    </row>
    <row r="75" spans="1:7" x14ac:dyDescent="0.45">
      <c r="A75">
        <f>MONTH(Budget[[#This Row],[Date]])</f>
        <v>10</v>
      </c>
      <c r="B75" s="1">
        <v>45588</v>
      </c>
      <c r="C75" t="s">
        <v>8</v>
      </c>
      <c r="D75" s="32" t="s">
        <v>9</v>
      </c>
      <c r="F75" s="11">
        <v>500</v>
      </c>
      <c r="G75" s="2">
        <f>SUM(G74+Budget[[#This Row],[Income]]-Budget[[#This Row],[Debit]])</f>
        <v>-1446.3699999999994</v>
      </c>
    </row>
    <row r="76" spans="1:7" x14ac:dyDescent="0.45">
      <c r="A76">
        <f>MONTH(Budget[[#This Row],[Date]])</f>
        <v>10</v>
      </c>
      <c r="B76" s="1">
        <v>45589</v>
      </c>
      <c r="C76" t="s">
        <v>18</v>
      </c>
      <c r="D76" t="s">
        <v>16</v>
      </c>
      <c r="F76" s="2">
        <v>42.6</v>
      </c>
      <c r="G76" s="2">
        <f>SUM(G75+Budget[[#This Row],[Income]]-Budget[[#This Row],[Debit]])</f>
        <v>-1488.9699999999993</v>
      </c>
    </row>
    <row r="77" spans="1:7" x14ac:dyDescent="0.45">
      <c r="A77">
        <f>MONTH(Budget[[#This Row],[Date]])</f>
        <v>10</v>
      </c>
      <c r="B77" s="1">
        <v>45589</v>
      </c>
      <c r="C77" t="s">
        <v>60</v>
      </c>
      <c r="D77" t="s">
        <v>39</v>
      </c>
      <c r="F77" s="2">
        <v>9.74</v>
      </c>
      <c r="G77" s="2">
        <f>SUM(G76+Budget[[#This Row],[Income]]-Budget[[#This Row],[Debit]])</f>
        <v>-1498.7099999999994</v>
      </c>
    </row>
    <row r="78" spans="1:7" x14ac:dyDescent="0.45">
      <c r="A78">
        <f>MONTH(Budget[[#This Row],[Date]])</f>
        <v>10</v>
      </c>
      <c r="B78" s="1">
        <v>45589</v>
      </c>
      <c r="C78" t="s">
        <v>48</v>
      </c>
      <c r="D78" t="s">
        <v>39</v>
      </c>
      <c r="F78" s="2">
        <v>10.8</v>
      </c>
      <c r="G78" s="2">
        <f>SUM(G77+Budget[[#This Row],[Income]]-Budget[[#This Row],[Debit]])</f>
        <v>-1509.5099999999993</v>
      </c>
    </row>
    <row r="79" spans="1:7" x14ac:dyDescent="0.45">
      <c r="A79">
        <f>MONTH(Budget[[#This Row],[Date]])</f>
        <v>10</v>
      </c>
      <c r="B79" s="1">
        <v>45590</v>
      </c>
      <c r="C79" t="s">
        <v>61</v>
      </c>
      <c r="D79" t="s">
        <v>13</v>
      </c>
      <c r="F79" s="2">
        <v>9</v>
      </c>
      <c r="G79" s="2">
        <f>SUM(G78+Budget[[#This Row],[Income]]-Budget[[#This Row],[Debit]])</f>
        <v>-1518.5099999999993</v>
      </c>
    </row>
    <row r="80" spans="1:7" x14ac:dyDescent="0.45">
      <c r="A80">
        <f>MONTH(Budget[[#This Row],[Date]])</f>
        <v>10</v>
      </c>
      <c r="B80" s="1">
        <v>45590</v>
      </c>
      <c r="C80" t="s">
        <v>62</v>
      </c>
      <c r="D80" t="s">
        <v>13</v>
      </c>
      <c r="F80" s="2">
        <v>30.2</v>
      </c>
      <c r="G80" s="2">
        <f>SUM(G79+Budget[[#This Row],[Income]]-Budget[[#This Row],[Debit]])</f>
        <v>-1548.7099999999994</v>
      </c>
    </row>
    <row r="81" spans="1:7" x14ac:dyDescent="0.45">
      <c r="A81">
        <f>MONTH(Budget[[#This Row],[Date]])</f>
        <v>10</v>
      </c>
      <c r="B81" s="1">
        <v>45593</v>
      </c>
      <c r="C81" t="s">
        <v>63</v>
      </c>
      <c r="D81" t="s">
        <v>39</v>
      </c>
      <c r="F81" s="2">
        <v>11.9</v>
      </c>
      <c r="G81" s="2">
        <f>SUM(G80+Budget[[#This Row],[Income]]-Budget[[#This Row],[Debit]])</f>
        <v>-1560.6099999999994</v>
      </c>
    </row>
    <row r="82" spans="1:7" x14ac:dyDescent="0.45">
      <c r="A82">
        <f>MONTH(Budget[[#This Row],[Date]])</f>
        <v>10</v>
      </c>
      <c r="B82" s="1">
        <v>45594</v>
      </c>
      <c r="C82" t="s">
        <v>64</v>
      </c>
      <c r="D82" t="s">
        <v>39</v>
      </c>
      <c r="F82" s="2">
        <v>66.209999999999994</v>
      </c>
      <c r="G82" s="2">
        <f>SUM(G81+Budget[[#This Row],[Income]]-Budget[[#This Row],[Debit]])</f>
        <v>-1626.8199999999995</v>
      </c>
    </row>
    <row r="83" spans="1:7" x14ac:dyDescent="0.45">
      <c r="A83">
        <f>MONTH(Budget[[#This Row],[Date]])</f>
        <v>10</v>
      </c>
      <c r="B83" s="1">
        <v>45594</v>
      </c>
      <c r="C83" t="s">
        <v>65</v>
      </c>
      <c r="D83" t="s">
        <v>39</v>
      </c>
      <c r="F83" s="2">
        <v>22.06</v>
      </c>
      <c r="G83" s="2">
        <f>SUM(G82+Budget[[#This Row],[Income]]-Budget[[#This Row],[Debit]])</f>
        <v>-1648.8799999999994</v>
      </c>
    </row>
    <row r="84" spans="1:7" x14ac:dyDescent="0.45">
      <c r="A84">
        <f>MONTH(Budget[[#This Row],[Date]])</f>
        <v>10</v>
      </c>
      <c r="B84" s="1">
        <v>45595</v>
      </c>
      <c r="C84" t="s">
        <v>66</v>
      </c>
      <c r="D84" t="s">
        <v>13</v>
      </c>
      <c r="F84" s="2">
        <v>21.64</v>
      </c>
      <c r="G84" s="2">
        <f>SUM(G83+Budget[[#This Row],[Income]]-Budget[[#This Row],[Debit]])</f>
        <v>-1670.5199999999995</v>
      </c>
    </row>
    <row r="85" spans="1:7" x14ac:dyDescent="0.45">
      <c r="A85">
        <f>MONTH(Budget[[#This Row],[Date]])</f>
        <v>10</v>
      </c>
      <c r="B85" s="1">
        <v>45596</v>
      </c>
      <c r="C85" t="s">
        <v>12</v>
      </c>
      <c r="D85" t="s">
        <v>13</v>
      </c>
      <c r="F85" s="2">
        <v>19.149999999999999</v>
      </c>
      <c r="G85" s="2">
        <f>SUM(G84+Budget[[#This Row],[Income]]-Budget[[#This Row],[Debit]])</f>
        <v>-1689.6699999999996</v>
      </c>
    </row>
    <row r="86" spans="1:7" x14ac:dyDescent="0.45">
      <c r="A86">
        <f>MONTH(Budget[[#This Row],[Date]])</f>
        <v>10</v>
      </c>
      <c r="B86" s="1">
        <v>45596</v>
      </c>
      <c r="C86" t="s">
        <v>67</v>
      </c>
      <c r="D86" t="s">
        <v>39</v>
      </c>
      <c r="F86" s="2">
        <v>6.5</v>
      </c>
      <c r="G86" s="2">
        <f>SUM(G85+Budget[[#This Row],[Income]]-Budget[[#This Row],[Debit]])</f>
        <v>-1696.1699999999996</v>
      </c>
    </row>
    <row r="87" spans="1:7" x14ac:dyDescent="0.45">
      <c r="A87">
        <f>MONTH(Budget[[#This Row],[Date]])</f>
        <v>10</v>
      </c>
      <c r="B87" s="1">
        <v>45596</v>
      </c>
      <c r="C87" t="s">
        <v>17</v>
      </c>
      <c r="D87" s="13" t="s">
        <v>4</v>
      </c>
      <c r="E87" s="33">
        <v>574.4</v>
      </c>
      <c r="G87" s="2">
        <f>SUM(G86+Budget[[#This Row],[Income]]-Budget[[#This Row],[Debit]])</f>
        <v>-1121.7699999999995</v>
      </c>
    </row>
    <row r="88" spans="1:7" x14ac:dyDescent="0.45">
      <c r="A88">
        <f>MONTH(Budget[[#This Row],[Date]])</f>
        <v>10</v>
      </c>
      <c r="B88" s="1">
        <v>45596</v>
      </c>
      <c r="C88" t="s">
        <v>32</v>
      </c>
      <c r="D88" s="32" t="s">
        <v>35</v>
      </c>
      <c r="E88" s="33"/>
      <c r="F88" s="11">
        <v>23.19</v>
      </c>
      <c r="G88" s="2">
        <f>SUM(G87+Budget[[#This Row],[Income]]-Budget[[#This Row],[Debit]])</f>
        <v>-1144.9599999999996</v>
      </c>
    </row>
    <row r="89" spans="1:7" ht="14.65" thickBot="1" x14ac:dyDescent="0.5">
      <c r="A89" s="27">
        <f>MONTH(Budget[[#This Row],[Date]])</f>
        <v>10</v>
      </c>
      <c r="B89" s="28">
        <v>45596</v>
      </c>
      <c r="C89" s="27" t="s">
        <v>68</v>
      </c>
      <c r="D89" s="27" t="s">
        <v>13</v>
      </c>
      <c r="E89" s="29"/>
      <c r="F89" s="29">
        <v>25</v>
      </c>
      <c r="G89" s="29">
        <f>SUM(G86+Budget[[#This Row],[Income]]-Budget[[#This Row],[Debit]])</f>
        <v>-1721.1699999999996</v>
      </c>
    </row>
    <row r="90" spans="1:7" ht="14.65" thickTop="1" x14ac:dyDescent="0.45">
      <c r="A90">
        <f>MONTH(Budget[[#This Row],[Date]])</f>
        <v>11</v>
      </c>
      <c r="B90" s="1">
        <v>45599</v>
      </c>
      <c r="C90" t="s">
        <v>69</v>
      </c>
      <c r="D90" s="8" t="s">
        <v>29</v>
      </c>
      <c r="F90" s="9">
        <v>430.35</v>
      </c>
      <c r="G90" s="2">
        <f>SUM(G89+Budget[[#This Row],[Income]]-Budget[[#This Row],[Debit]])</f>
        <v>-2151.5199999999995</v>
      </c>
    </row>
    <row r="91" spans="1:7" x14ac:dyDescent="0.45">
      <c r="A91">
        <f>MONTH(Budget[[#This Row],[Date]])</f>
        <v>11</v>
      </c>
      <c r="B91" s="1">
        <v>45602</v>
      </c>
      <c r="C91" t="s">
        <v>18</v>
      </c>
      <c r="D91" t="s">
        <v>16</v>
      </c>
      <c r="F91" s="2">
        <v>41.55</v>
      </c>
      <c r="G91" s="2">
        <f>SUM(G90+Budget[[#This Row],[Income]]-Budget[[#This Row],[Debit]])</f>
        <v>-2193.0699999999997</v>
      </c>
    </row>
    <row r="92" spans="1:7" x14ac:dyDescent="0.45">
      <c r="A92">
        <f>MONTH(Budget[[#This Row],[Date]])</f>
        <v>11</v>
      </c>
      <c r="B92" s="1">
        <v>45602</v>
      </c>
      <c r="C92" t="s">
        <v>12</v>
      </c>
      <c r="D92" t="s">
        <v>13</v>
      </c>
      <c r="F92" s="2">
        <v>12.5</v>
      </c>
      <c r="G92" s="2">
        <f>SUM(G91+Budget[[#This Row],[Income]]-Budget[[#This Row],[Debit]])</f>
        <v>-2205.5699999999997</v>
      </c>
    </row>
    <row r="93" spans="1:7" x14ac:dyDescent="0.45">
      <c r="A93">
        <f>MONTH(Budget[[#This Row],[Date]])</f>
        <v>11</v>
      </c>
      <c r="B93" s="1">
        <v>45602</v>
      </c>
      <c r="C93" t="s">
        <v>12</v>
      </c>
      <c r="D93" t="s">
        <v>13</v>
      </c>
      <c r="F93" s="2">
        <v>3.66</v>
      </c>
      <c r="G93" s="2">
        <f>SUM(G92+Budget[[#This Row],[Income]]-Budget[[#This Row],[Debit]])</f>
        <v>-2209.2299999999996</v>
      </c>
    </row>
    <row r="94" spans="1:7" x14ac:dyDescent="0.45">
      <c r="A94">
        <f>MONTH(Budget[[#This Row],[Date]])</f>
        <v>11</v>
      </c>
      <c r="B94" s="1">
        <v>45602</v>
      </c>
      <c r="C94" t="s">
        <v>71</v>
      </c>
      <c r="D94" t="s">
        <v>13</v>
      </c>
      <c r="F94" s="2">
        <v>7.57</v>
      </c>
      <c r="G94" s="2">
        <f>SUM(G93+Budget[[#This Row],[Income]]-Budget[[#This Row],[Debit]])</f>
        <v>-2216.7999999999997</v>
      </c>
    </row>
    <row r="95" spans="1:7" x14ac:dyDescent="0.45">
      <c r="A95">
        <f>MONTH(Budget[[#This Row],[Date]])</f>
        <v>11</v>
      </c>
      <c r="B95" s="1">
        <v>45603</v>
      </c>
      <c r="C95" t="s">
        <v>70</v>
      </c>
      <c r="D95" t="s">
        <v>13</v>
      </c>
      <c r="F95" s="2">
        <v>25.96</v>
      </c>
      <c r="G95" s="2">
        <f>SUM(G94+Budget[[#This Row],[Income]]-Budget[[#This Row],[Debit]])</f>
        <v>-2242.7599999999998</v>
      </c>
    </row>
    <row r="96" spans="1:7" x14ac:dyDescent="0.45">
      <c r="A96">
        <f>MONTH(Budget[[#This Row],[Date]])</f>
        <v>11</v>
      </c>
      <c r="B96" s="1">
        <v>45607</v>
      </c>
      <c r="C96" t="s">
        <v>72</v>
      </c>
      <c r="D96" t="s">
        <v>13</v>
      </c>
      <c r="F96" s="2">
        <v>155.87</v>
      </c>
      <c r="G96" s="2">
        <f>SUM(G95+Budget[[#This Row],[Income]]-Budget[[#This Row],[Debit]])</f>
        <v>-2398.6299999999997</v>
      </c>
    </row>
    <row r="97" spans="1:7" x14ac:dyDescent="0.45">
      <c r="A97">
        <f>MONTH(Budget[[#This Row],[Date]])</f>
        <v>11</v>
      </c>
      <c r="B97" s="1">
        <v>45608</v>
      </c>
      <c r="C97" t="s">
        <v>18</v>
      </c>
      <c r="D97" t="s">
        <v>13</v>
      </c>
      <c r="F97" s="2">
        <v>12.81</v>
      </c>
      <c r="G97" s="2">
        <f>SUM(G96+Budget[[#This Row],[Income]]-Budget[[#This Row],[Debit]])</f>
        <v>-2411.4399999999996</v>
      </c>
    </row>
    <row r="98" spans="1:7" x14ac:dyDescent="0.45">
      <c r="A98">
        <f>MONTH(Budget[[#This Row],[Date]])</f>
        <v>11</v>
      </c>
      <c r="B98" s="1">
        <v>45610</v>
      </c>
      <c r="C98" t="s">
        <v>17</v>
      </c>
      <c r="D98" s="13" t="s">
        <v>4</v>
      </c>
      <c r="E98" s="33">
        <v>658.5</v>
      </c>
      <c r="G98" s="2">
        <f>SUM(G97+Budget[[#This Row],[Income]]-Budget[[#This Row],[Debit]])</f>
        <v>-1752.9399999999996</v>
      </c>
    </row>
    <row r="99" spans="1:7" x14ac:dyDescent="0.45">
      <c r="A99">
        <f>MONTH(Budget[[#This Row],[Date]])</f>
        <v>11</v>
      </c>
      <c r="B99" s="1">
        <v>45610</v>
      </c>
      <c r="C99" t="s">
        <v>73</v>
      </c>
      <c r="D99" t="s">
        <v>39</v>
      </c>
      <c r="F99" s="2">
        <v>22.26</v>
      </c>
      <c r="G99" s="2">
        <f>SUM(G97+Budget[[#This Row],[Income]]-Budget[[#This Row],[Debit]])</f>
        <v>-2433.6999999999998</v>
      </c>
    </row>
    <row r="100" spans="1:7" x14ac:dyDescent="0.45">
      <c r="A100">
        <f>MONTH(Budget[[#This Row],[Date]])</f>
        <v>11</v>
      </c>
      <c r="B100" s="1">
        <v>45610</v>
      </c>
      <c r="C100" t="s">
        <v>74</v>
      </c>
      <c r="D100" t="s">
        <v>13</v>
      </c>
      <c r="F100" s="2">
        <v>28.68</v>
      </c>
      <c r="G100" s="2">
        <f>SUM(G99+Budget[[#This Row],[Income]]-Budget[[#This Row],[Debit]])</f>
        <v>-2462.3799999999997</v>
      </c>
    </row>
    <row r="101" spans="1:7" x14ac:dyDescent="0.45">
      <c r="A101">
        <f>MONTH(Budget[[#This Row],[Date]])</f>
        <v>11</v>
      </c>
      <c r="B101" s="1">
        <v>45614</v>
      </c>
      <c r="C101" t="s">
        <v>75</v>
      </c>
      <c r="D101" s="8" t="s">
        <v>29</v>
      </c>
      <c r="F101" s="9">
        <v>335.86</v>
      </c>
      <c r="G101" s="2">
        <f>SUM(G100+Budget[[#This Row],[Income]]-Budget[[#This Row],[Debit]])</f>
        <v>-2798.24</v>
      </c>
    </row>
    <row r="102" spans="1:7" x14ac:dyDescent="0.45">
      <c r="A102">
        <f>MONTH(Budget[[#This Row],[Date]])</f>
        <v>11</v>
      </c>
      <c r="B102" s="1">
        <v>45615</v>
      </c>
      <c r="C102" t="s">
        <v>18</v>
      </c>
      <c r="D102" t="s">
        <v>16</v>
      </c>
      <c r="F102" s="43">
        <v>46.24</v>
      </c>
      <c r="G102" s="2">
        <f>SUM(G101+Budget[[#This Row],[Income]]-Budget[[#This Row],[Debit]])</f>
        <v>-2844.4799999999996</v>
      </c>
    </row>
    <row r="103" spans="1:7" x14ac:dyDescent="0.45">
      <c r="A103">
        <f>MONTH(Budget[[#This Row],[Date]])</f>
        <v>11</v>
      </c>
      <c r="B103" s="1">
        <v>45617</v>
      </c>
      <c r="C103" t="s">
        <v>76</v>
      </c>
      <c r="D103" t="s">
        <v>39</v>
      </c>
      <c r="F103" s="43">
        <v>61.28</v>
      </c>
      <c r="G103" s="2">
        <f>SUM(G102+Budget[[#This Row],[Income]]-Budget[[#This Row],[Debit]])</f>
        <v>-2905.7599999999998</v>
      </c>
    </row>
    <row r="104" spans="1:7" x14ac:dyDescent="0.45">
      <c r="A104">
        <f>MONTH(Budget[[#This Row],[Date]])</f>
        <v>11</v>
      </c>
      <c r="B104" s="1">
        <v>45618</v>
      </c>
      <c r="C104" t="s">
        <v>77</v>
      </c>
      <c r="D104" t="s">
        <v>39</v>
      </c>
      <c r="F104" s="43">
        <v>42</v>
      </c>
      <c r="G104" s="2">
        <f>SUM(G103+Budget[[#This Row],[Income]]-Budget[[#This Row],[Debit]])</f>
        <v>-2947.7599999999998</v>
      </c>
    </row>
    <row r="105" spans="1:7" x14ac:dyDescent="0.45">
      <c r="A105">
        <f>MONTH(Budget[[#This Row],[Date]])</f>
        <v>11</v>
      </c>
      <c r="B105" s="1">
        <v>45618</v>
      </c>
      <c r="C105" t="s">
        <v>78</v>
      </c>
      <c r="D105" t="s">
        <v>13</v>
      </c>
      <c r="F105" s="43">
        <v>25.51</v>
      </c>
      <c r="G105" s="2">
        <f>SUM(G104+Budget[[#This Row],[Income]]-Budget[[#This Row],[Debit]])</f>
        <v>-2973.27</v>
      </c>
    </row>
    <row r="106" spans="1:7" x14ac:dyDescent="0.45">
      <c r="A106">
        <f>MONTH(Budget[[#This Row],[Date]])</f>
        <v>11</v>
      </c>
      <c r="B106" s="1">
        <v>45621</v>
      </c>
      <c r="C106" t="s">
        <v>79</v>
      </c>
      <c r="D106" t="s">
        <v>13</v>
      </c>
      <c r="F106" s="43">
        <v>91.58</v>
      </c>
      <c r="G106" s="2">
        <f>SUM(G105+Budget[[#This Row],[Income]]-Budget[[#This Row],[Debit]])</f>
        <v>-3064.85</v>
      </c>
    </row>
    <row r="107" spans="1:7" x14ac:dyDescent="0.45">
      <c r="A107">
        <f>MONTH(Budget[[#This Row],[Date]])</f>
        <v>11</v>
      </c>
      <c r="B107" s="1">
        <v>45621</v>
      </c>
      <c r="C107" t="s">
        <v>80</v>
      </c>
      <c r="D107" t="s">
        <v>39</v>
      </c>
      <c r="F107" s="43">
        <v>15.32</v>
      </c>
      <c r="G107" s="2">
        <f>SUM(G106+Budget[[#This Row],[Income]]-Budget[[#This Row],[Debit]])</f>
        <v>-3080.17</v>
      </c>
    </row>
    <row r="108" spans="1:7" x14ac:dyDescent="0.45">
      <c r="A108">
        <f>MONTH(Budget[[#This Row],[Date]])</f>
        <v>11</v>
      </c>
      <c r="B108" s="1">
        <v>45621</v>
      </c>
      <c r="C108" t="s">
        <v>81</v>
      </c>
      <c r="D108" t="s">
        <v>13</v>
      </c>
      <c r="F108" s="43">
        <v>7.53</v>
      </c>
      <c r="G108" s="2">
        <f>SUM(G107+Budget[[#This Row],[Income]]-Budget[[#This Row],[Debit]])</f>
        <v>-3087.7000000000003</v>
      </c>
    </row>
    <row r="109" spans="1:7" x14ac:dyDescent="0.45">
      <c r="A109">
        <f>MONTH(Budget[[#This Row],[Date]])</f>
        <v>11</v>
      </c>
      <c r="B109" s="1">
        <v>45622</v>
      </c>
      <c r="C109" t="s">
        <v>17</v>
      </c>
      <c r="D109" s="13" t="s">
        <v>4</v>
      </c>
      <c r="E109" s="33">
        <v>640.41</v>
      </c>
      <c r="G109" s="2">
        <f>SUM(G108+Budget[[#This Row],[Income]]-Budget[[#This Row],[Debit]])</f>
        <v>-2447.2900000000004</v>
      </c>
    </row>
    <row r="110" spans="1:7" x14ac:dyDescent="0.45">
      <c r="A110">
        <f>MONTH(Budget[[#This Row],[Date]])</f>
        <v>11</v>
      </c>
      <c r="B110" s="1">
        <v>45623</v>
      </c>
      <c r="C110" t="s">
        <v>18</v>
      </c>
      <c r="D110" t="s">
        <v>16</v>
      </c>
      <c r="F110" s="2">
        <v>40.35</v>
      </c>
      <c r="G110" s="2">
        <f>SUM(G108+Budget[[#This Row],[Income]]-Budget[[#This Row],[Debit]])</f>
        <v>-3128.05</v>
      </c>
    </row>
    <row r="111" spans="1:7" x14ac:dyDescent="0.45">
      <c r="A111">
        <f>MONTH(Budget[[#This Row],[Date]])</f>
        <v>11</v>
      </c>
      <c r="B111" s="1">
        <v>45623</v>
      </c>
      <c r="C111" t="s">
        <v>82</v>
      </c>
      <c r="D111" t="s">
        <v>39</v>
      </c>
      <c r="F111" s="43">
        <v>18.940000000000001</v>
      </c>
      <c r="G111" s="2">
        <f>SUM(G110+Budget[[#This Row],[Income]]-Budget[[#This Row],[Debit]])</f>
        <v>-3146.9900000000002</v>
      </c>
    </row>
    <row r="112" spans="1:7" x14ac:dyDescent="0.45">
      <c r="A112">
        <f>MONTH(Budget[[#This Row],[Date]])</f>
        <v>11</v>
      </c>
      <c r="B112" s="1">
        <v>45623</v>
      </c>
      <c r="C112" t="s">
        <v>83</v>
      </c>
      <c r="D112" t="s">
        <v>13</v>
      </c>
      <c r="F112" s="2">
        <v>45.47</v>
      </c>
      <c r="G112" s="2">
        <f>SUM(G111+Budget[[#This Row],[Income]]-Budget[[#This Row],[Debit]])</f>
        <v>-3192.46</v>
      </c>
    </row>
    <row r="113" spans="1:7" x14ac:dyDescent="0.45">
      <c r="A113">
        <f>MONTH(Budget[[#This Row],[Date]])</f>
        <v>11</v>
      </c>
      <c r="B113" s="1">
        <v>45623</v>
      </c>
      <c r="C113" t="s">
        <v>84</v>
      </c>
      <c r="D113" t="s">
        <v>13</v>
      </c>
      <c r="F113" s="43">
        <v>73.489999999999995</v>
      </c>
      <c r="G113" s="2">
        <f>SUM(G112+Budget[[#This Row],[Income]]-Budget[[#This Row],[Debit]])</f>
        <v>-3265.95</v>
      </c>
    </row>
    <row r="114" spans="1:7" x14ac:dyDescent="0.45">
      <c r="A114">
        <f>MONTH(Budget[[#This Row],[Date]])</f>
        <v>11</v>
      </c>
      <c r="B114" s="1">
        <v>45624</v>
      </c>
      <c r="C114" t="s">
        <v>8</v>
      </c>
      <c r="D114" s="32" t="s">
        <v>9</v>
      </c>
      <c r="F114" s="11">
        <v>699</v>
      </c>
      <c r="G114" s="2">
        <f>SUM(G113+Budget[[#This Row],[Income]]-Budget[[#This Row],[Debit]])</f>
        <v>-3964.95</v>
      </c>
    </row>
    <row r="115" spans="1:7" x14ac:dyDescent="0.45">
      <c r="A115">
        <f>MONTH(Budget[[#This Row],[Date]])</f>
        <v>11</v>
      </c>
      <c r="B115" s="1">
        <v>45625</v>
      </c>
      <c r="C115" t="s">
        <v>79</v>
      </c>
      <c r="D115" t="s">
        <v>13</v>
      </c>
      <c r="F115" s="2">
        <v>16.13</v>
      </c>
      <c r="G115" s="2">
        <f>SUM(G114+Budget[[#This Row],[Income]]-Budget[[#This Row],[Debit]])</f>
        <v>-3981.08</v>
      </c>
    </row>
    <row r="116" spans="1:7" x14ac:dyDescent="0.45">
      <c r="A116">
        <f>MONTH(Budget[[#This Row],[Date]])</f>
        <v>11</v>
      </c>
      <c r="B116" s="1">
        <v>45625</v>
      </c>
      <c r="C116" t="s">
        <v>85</v>
      </c>
      <c r="D116" t="s">
        <v>13</v>
      </c>
      <c r="F116" s="2">
        <v>36.78</v>
      </c>
      <c r="G116" s="2">
        <f>SUM(G115+Budget[[#This Row],[Income]]-Budget[[#This Row],[Debit]])</f>
        <v>-4017.86</v>
      </c>
    </row>
    <row r="117" spans="1:7" x14ac:dyDescent="0.45">
      <c r="A117">
        <f>MONTH(Budget[[#This Row],[Date]])</f>
        <v>11</v>
      </c>
      <c r="B117" s="1">
        <v>45626</v>
      </c>
      <c r="C117" t="s">
        <v>86</v>
      </c>
      <c r="D117" t="s">
        <v>13</v>
      </c>
      <c r="F117" s="2">
        <v>25.98</v>
      </c>
      <c r="G117" s="2">
        <f>SUM(G116+Budget[[#This Row],[Income]]-Budget[[#This Row],[Debit]])</f>
        <v>-4043.84</v>
      </c>
    </row>
    <row r="118" spans="1:7" x14ac:dyDescent="0.45">
      <c r="A118">
        <f>MONTH(Budget[[#This Row],[Date]])</f>
        <v>11</v>
      </c>
      <c r="B118" s="1">
        <v>45626</v>
      </c>
      <c r="C118" t="s">
        <v>32</v>
      </c>
      <c r="D118" s="32" t="s">
        <v>35</v>
      </c>
      <c r="F118" s="44">
        <v>23.66</v>
      </c>
      <c r="G118" s="2">
        <f>SUM(G117+Budget[[#This Row],[Income]]-Budget[[#This Row],[Debit]])</f>
        <v>-4067.5</v>
      </c>
    </row>
    <row r="119" spans="1:7" ht="14.65" thickBot="1" x14ac:dyDescent="0.5">
      <c r="A119" s="27">
        <f>MONTH(Budget[[#This Row],[Date]])</f>
        <v>11</v>
      </c>
      <c r="B119" s="28">
        <v>45626</v>
      </c>
      <c r="C119" s="27" t="s">
        <v>87</v>
      </c>
      <c r="D119" s="27" t="s">
        <v>39</v>
      </c>
      <c r="E119" s="29"/>
      <c r="F119" s="2">
        <v>77.010000000000005</v>
      </c>
      <c r="G119" s="29">
        <f>SUM(G117+Budget[[#This Row],[Income]]-Budget[[#This Row],[Debit]])</f>
        <v>-4120.8500000000004</v>
      </c>
    </row>
    <row r="120" spans="1:7" ht="14.65" thickTop="1" x14ac:dyDescent="0.45">
      <c r="A120">
        <f>MONTH(Budget[[#This Row],[Date]])</f>
        <v>12</v>
      </c>
      <c r="B120" s="1">
        <v>45627</v>
      </c>
      <c r="C120" t="s">
        <v>88</v>
      </c>
      <c r="D120" s="8" t="s">
        <v>29</v>
      </c>
      <c r="F120" s="9">
        <v>381.89</v>
      </c>
      <c r="G120" s="2">
        <f>SUM(G119+Budget[[#This Row],[Income]]-Budget[[#This Row],[Debit]])</f>
        <v>-4502.7400000000007</v>
      </c>
    </row>
    <row r="121" spans="1:7" x14ac:dyDescent="0.45">
      <c r="A121">
        <f>MONTH(Budget[[#This Row],[Date]])</f>
        <v>12</v>
      </c>
      <c r="B121" s="1">
        <v>45628</v>
      </c>
      <c r="C121" t="s">
        <v>12</v>
      </c>
      <c r="D121" t="s">
        <v>13</v>
      </c>
      <c r="F121" s="2">
        <v>32.479999999999997</v>
      </c>
      <c r="G121" s="2">
        <f>SUM(G120+Budget[[#This Row],[Income]]-Budget[[#This Row],[Debit]])</f>
        <v>-4535.22</v>
      </c>
    </row>
    <row r="122" spans="1:7" x14ac:dyDescent="0.45">
      <c r="A122">
        <f>MONTH(Budget[[#This Row],[Date]])</f>
        <v>12</v>
      </c>
      <c r="B122" s="1">
        <v>45628</v>
      </c>
      <c r="C122" t="s">
        <v>89</v>
      </c>
      <c r="D122" t="s">
        <v>39</v>
      </c>
      <c r="F122" s="2">
        <v>23.82</v>
      </c>
      <c r="G122" s="2">
        <f>SUM(G121+Budget[[#This Row],[Income]]-Budget[[#This Row],[Debit]])</f>
        <v>-4559.04</v>
      </c>
    </row>
    <row r="123" spans="1:7" x14ac:dyDescent="0.45">
      <c r="A123">
        <f>MONTH(Budget[[#This Row],[Date]])</f>
        <v>12</v>
      </c>
      <c r="B123" s="1">
        <v>45628</v>
      </c>
      <c r="C123" t="s">
        <v>70</v>
      </c>
      <c r="D123" t="s">
        <v>13</v>
      </c>
      <c r="F123" s="2">
        <v>52.04</v>
      </c>
      <c r="G123" s="2">
        <f>SUM(G122+Budget[[#This Row],[Income]]-Budget[[#This Row],[Debit]])</f>
        <v>-4611.08</v>
      </c>
    </row>
    <row r="124" spans="1:7" x14ac:dyDescent="0.45">
      <c r="A124">
        <f>MONTH(Budget[[#This Row],[Date]])</f>
        <v>12</v>
      </c>
      <c r="B124" s="1">
        <v>45631</v>
      </c>
      <c r="C124" t="s">
        <v>18</v>
      </c>
      <c r="D124" t="s">
        <v>16</v>
      </c>
      <c r="F124" s="2">
        <v>44.21</v>
      </c>
      <c r="G124" s="2">
        <f>SUM(G123+Budget[[#This Row],[Income]]-Budget[[#This Row],[Debit]])</f>
        <v>-4655.29</v>
      </c>
    </row>
    <row r="125" spans="1:7" x14ac:dyDescent="0.45">
      <c r="A125">
        <f>MONTH(Budget[[#This Row],[Date]])</f>
        <v>12</v>
      </c>
      <c r="B125" s="1">
        <v>45633</v>
      </c>
      <c r="C125" t="s">
        <v>90</v>
      </c>
      <c r="D125" t="s">
        <v>39</v>
      </c>
      <c r="F125" s="2">
        <v>17.510000000000002</v>
      </c>
      <c r="G125" s="2">
        <f>SUM(G124+Budget[[#This Row],[Income]]-Budget[[#This Row],[Debit]])</f>
        <v>-4672.8</v>
      </c>
    </row>
    <row r="126" spans="1:7" x14ac:dyDescent="0.45">
      <c r="A126">
        <f>MONTH(Budget[[#This Row],[Date]])</f>
        <v>12</v>
      </c>
      <c r="B126" s="1">
        <v>45633</v>
      </c>
      <c r="C126" t="s">
        <v>91</v>
      </c>
      <c r="D126" t="s">
        <v>39</v>
      </c>
      <c r="F126" s="2">
        <v>6.38</v>
      </c>
      <c r="G126" s="2">
        <f>SUM(G125+Budget[[#This Row],[Income]]-Budget[[#This Row],[Debit]])</f>
        <v>-4679.18</v>
      </c>
    </row>
    <row r="127" spans="1:7" x14ac:dyDescent="0.45">
      <c r="A127">
        <f>MONTH(Budget[[#This Row],[Date]])</f>
        <v>12</v>
      </c>
      <c r="B127" s="1">
        <v>45633</v>
      </c>
      <c r="C127" t="s">
        <v>78</v>
      </c>
      <c r="D127" t="s">
        <v>13</v>
      </c>
      <c r="F127" s="2">
        <v>27.05</v>
      </c>
      <c r="G127" s="2">
        <f>SUM(G126+Budget[[#This Row],[Income]]-Budget[[#This Row],[Debit]])</f>
        <v>-4706.2300000000005</v>
      </c>
    </row>
    <row r="128" spans="1:7" x14ac:dyDescent="0.45">
      <c r="A128">
        <f>MONTH(Budget[[#This Row],[Date]])</f>
        <v>12</v>
      </c>
      <c r="B128" s="1">
        <v>45635</v>
      </c>
      <c r="C128" t="s">
        <v>92</v>
      </c>
      <c r="D128" t="s">
        <v>13</v>
      </c>
      <c r="F128" s="2">
        <v>12.98</v>
      </c>
      <c r="G128" s="2">
        <f>SUM(G127+Budget[[#This Row],[Income]]-Budget[[#This Row],[Debit]])</f>
        <v>-4719.21</v>
      </c>
    </row>
    <row r="129" spans="1:7" x14ac:dyDescent="0.45">
      <c r="A129">
        <f>MONTH(Budget[[#This Row],[Date]])</f>
        <v>12</v>
      </c>
      <c r="B129" s="1">
        <v>45636</v>
      </c>
      <c r="C129" t="s">
        <v>93</v>
      </c>
      <c r="D129" t="s">
        <v>13</v>
      </c>
      <c r="F129" s="2">
        <v>40.909999999999997</v>
      </c>
      <c r="G129" s="2">
        <f>SUM(G128+Budget[[#This Row],[Income]]-Budget[[#This Row],[Debit]])</f>
        <v>-4760.12</v>
      </c>
    </row>
    <row r="130" spans="1:7" x14ac:dyDescent="0.45">
      <c r="A130">
        <f>MONTH(Budget[[#This Row],[Date]])</f>
        <v>12</v>
      </c>
      <c r="B130" s="1">
        <v>45637</v>
      </c>
      <c r="C130" t="s">
        <v>18</v>
      </c>
      <c r="D130" t="s">
        <v>16</v>
      </c>
      <c r="F130" s="2">
        <v>39</v>
      </c>
      <c r="G130" s="2">
        <f>SUM(G129+Budget[[#This Row],[Income]]-Budget[[#This Row],[Debit]])</f>
        <v>-4799.12</v>
      </c>
    </row>
    <row r="131" spans="1:7" x14ac:dyDescent="0.45">
      <c r="A131">
        <f>MONTH(Budget[[#This Row],[Date]])</f>
        <v>12</v>
      </c>
      <c r="B131" s="1">
        <v>45638</v>
      </c>
      <c r="C131" t="s">
        <v>17</v>
      </c>
      <c r="D131" t="s">
        <v>4</v>
      </c>
      <c r="E131" s="33">
        <v>634.03</v>
      </c>
      <c r="G131" s="2">
        <f>SUM(G130+Budget[[#This Row],[Income]]-Budget[[#This Row],[Debit]])</f>
        <v>-4165.09</v>
      </c>
    </row>
    <row r="132" spans="1:7" x14ac:dyDescent="0.45">
      <c r="A132">
        <f>MONTH(Budget[[#This Row],[Date]])</f>
        <v>12</v>
      </c>
      <c r="B132" s="1">
        <v>45639</v>
      </c>
      <c r="C132" t="s">
        <v>94</v>
      </c>
      <c r="D132" t="s">
        <v>13</v>
      </c>
      <c r="F132" s="2">
        <v>119.11</v>
      </c>
      <c r="G132" s="2">
        <f>SUM(G130+Budget[[#This Row],[Income]]-Budget[[#This Row],[Debit]])</f>
        <v>-4918.2299999999996</v>
      </c>
    </row>
    <row r="133" spans="1:7" x14ac:dyDescent="0.45">
      <c r="A133">
        <f>MONTH(Budget[[#This Row],[Date]])</f>
        <v>12</v>
      </c>
      <c r="B133" s="1">
        <v>45640</v>
      </c>
      <c r="C133" t="s">
        <v>95</v>
      </c>
      <c r="D133" t="s">
        <v>13</v>
      </c>
      <c r="F133" s="2">
        <v>113.3</v>
      </c>
      <c r="G133" s="2">
        <f>SUM(G132+Budget[[#This Row],[Income]]-Budget[[#This Row],[Debit]])</f>
        <v>-5031.53</v>
      </c>
    </row>
    <row r="134" spans="1:7" x14ac:dyDescent="0.45">
      <c r="A134">
        <f>MONTH(Budget[[#This Row],[Date]])</f>
        <v>12</v>
      </c>
      <c r="B134" s="1">
        <v>45642</v>
      </c>
      <c r="C134" t="s">
        <v>96</v>
      </c>
      <c r="D134" t="s">
        <v>29</v>
      </c>
      <c r="F134" s="9">
        <v>657.21</v>
      </c>
      <c r="G134" s="2">
        <f>SUM(G133+Budget[[#This Row],[Income]]-Budget[[#This Row],[Debit]])</f>
        <v>-5688.74</v>
      </c>
    </row>
    <row r="135" spans="1:7" x14ac:dyDescent="0.45">
      <c r="A135">
        <f>MONTH(Budget[[#This Row],[Date]])</f>
        <v>12</v>
      </c>
      <c r="B135" s="1">
        <v>45642</v>
      </c>
      <c r="C135" t="s">
        <v>97</v>
      </c>
      <c r="D135" t="s">
        <v>13</v>
      </c>
      <c r="F135" s="2">
        <v>36.799999999999997</v>
      </c>
      <c r="G135" s="2">
        <f>SUM(G134+Budget[[#This Row],[Income]]-Budget[[#This Row],[Debit]])</f>
        <v>-5725.54</v>
      </c>
    </row>
    <row r="136" spans="1:7" x14ac:dyDescent="0.45">
      <c r="A136">
        <f>MONTH(Budget[[#This Row],[Date]])</f>
        <v>12</v>
      </c>
      <c r="B136" s="1">
        <v>45643</v>
      </c>
      <c r="C136" t="s">
        <v>98</v>
      </c>
      <c r="D136" t="s">
        <v>4</v>
      </c>
      <c r="E136" s="33">
        <v>18</v>
      </c>
      <c r="G136" s="2">
        <f>SUM(G135+Budget[[#This Row],[Income]]-Budget[[#This Row],[Debit]])</f>
        <v>-5707.54</v>
      </c>
    </row>
    <row r="137" spans="1:7" x14ac:dyDescent="0.45">
      <c r="A137">
        <f>MONTH(Budget[[#This Row],[Date]])</f>
        <v>12</v>
      </c>
      <c r="B137" s="1">
        <v>45643</v>
      </c>
      <c r="C137" t="s">
        <v>99</v>
      </c>
      <c r="D137" t="s">
        <v>100</v>
      </c>
      <c r="E137" s="6">
        <v>-160</v>
      </c>
      <c r="G137" s="2">
        <f>SUM(G136+Budget[[#This Row],[Income]]-Budget[[#This Row],[Debit]])</f>
        <v>-5867.54</v>
      </c>
    </row>
    <row r="138" spans="1:7" x14ac:dyDescent="0.45">
      <c r="A138">
        <f>MONTH(Budget[[#This Row],[Date]])</f>
        <v>12</v>
      </c>
      <c r="B138" s="1">
        <v>45645</v>
      </c>
      <c r="C138" t="s">
        <v>98</v>
      </c>
      <c r="D138" t="s">
        <v>100</v>
      </c>
      <c r="E138" s="6">
        <v>-75</v>
      </c>
      <c r="G138" s="2">
        <f>SUM(G137+Budget[[#This Row],[Income]]-Budget[[#This Row],[Debit]])</f>
        <v>-5942.54</v>
      </c>
    </row>
    <row r="139" spans="1:7" x14ac:dyDescent="0.45">
      <c r="A139">
        <f>MONTH(Budget[[#This Row],[Date]])</f>
        <v>12</v>
      </c>
      <c r="B139" s="1">
        <v>45643</v>
      </c>
      <c r="C139" t="s">
        <v>101</v>
      </c>
      <c r="D139" t="s">
        <v>13</v>
      </c>
      <c r="F139" s="2">
        <v>17.32</v>
      </c>
      <c r="G139" s="2">
        <f>SUM(G138+Budget[[#This Row],[Income]]-Budget[[#This Row],[Debit]])</f>
        <v>-5959.86</v>
      </c>
    </row>
    <row r="140" spans="1:7" x14ac:dyDescent="0.45">
      <c r="A140">
        <f>MONTH(Budget[[#This Row],[Date]])</f>
        <v>12</v>
      </c>
      <c r="B140" s="1">
        <v>45643</v>
      </c>
      <c r="C140" t="s">
        <v>102</v>
      </c>
      <c r="D140" t="s">
        <v>39</v>
      </c>
      <c r="F140" s="2">
        <v>16.78</v>
      </c>
      <c r="G140" s="2">
        <f>SUM(G139+Budget[[#This Row],[Income]]-Budget[[#This Row],[Debit]])</f>
        <v>-5976.6399999999994</v>
      </c>
    </row>
    <row r="141" spans="1:7" x14ac:dyDescent="0.45">
      <c r="A141">
        <f>MONTH(Budget[[#This Row],[Date]])</f>
        <v>12</v>
      </c>
      <c r="B141" s="1">
        <v>45648</v>
      </c>
      <c r="C141" t="s">
        <v>78</v>
      </c>
      <c r="D141" t="s">
        <v>13</v>
      </c>
      <c r="F141" s="2">
        <v>41.54</v>
      </c>
      <c r="G141" s="2">
        <f>SUM(G140+Budget[[#This Row],[Income]]-Budget[[#This Row],[Debit]])</f>
        <v>-6018.1799999999994</v>
      </c>
    </row>
    <row r="142" spans="1:7" x14ac:dyDescent="0.45">
      <c r="A142">
        <f>MONTH(Budget[[#This Row],[Date]])</f>
        <v>12</v>
      </c>
      <c r="B142" s="1">
        <v>46010</v>
      </c>
      <c r="C142" t="s">
        <v>18</v>
      </c>
      <c r="D142" t="s">
        <v>16</v>
      </c>
      <c r="F142" s="2">
        <v>41.82</v>
      </c>
      <c r="G142" s="2">
        <f>SUM(G141+Budget[[#This Row],[Income]]-Budget[[#This Row],[Debit]])</f>
        <v>-6059.9999999999991</v>
      </c>
    </row>
    <row r="143" spans="1:7" x14ac:dyDescent="0.45">
      <c r="A143">
        <f>MONTH(Budget[[#This Row],[Date]])</f>
        <v>12</v>
      </c>
      <c r="B143" s="1">
        <v>46014</v>
      </c>
      <c r="C143" t="s">
        <v>103</v>
      </c>
      <c r="D143" t="s">
        <v>39</v>
      </c>
      <c r="F143" s="2">
        <v>40.85</v>
      </c>
      <c r="G143" s="2">
        <f>SUM(G142+Budget[[#This Row],[Income]]-Budget[[#This Row],[Debit]])</f>
        <v>-6100.8499999999995</v>
      </c>
    </row>
    <row r="144" spans="1:7" x14ac:dyDescent="0.45">
      <c r="A144">
        <f>MONTH(Budget[[#This Row],[Date]])</f>
        <v>12</v>
      </c>
      <c r="B144" s="1">
        <v>46017</v>
      </c>
      <c r="C144" t="s">
        <v>18</v>
      </c>
      <c r="D144" t="s">
        <v>16</v>
      </c>
      <c r="F144" s="2">
        <v>39.08</v>
      </c>
      <c r="G144" s="2">
        <f>SUM(G143+Budget[[#This Row],[Income]]-Budget[[#This Row],[Debit]])</f>
        <v>-6139.9299999999994</v>
      </c>
    </row>
    <row r="145" spans="1:7" x14ac:dyDescent="0.45">
      <c r="A145">
        <f>MONTH(Budget[[#This Row],[Date]])</f>
        <v>12</v>
      </c>
      <c r="B145" s="1">
        <v>46018</v>
      </c>
      <c r="C145" t="s">
        <v>78</v>
      </c>
      <c r="D145" t="s">
        <v>13</v>
      </c>
      <c r="F145" s="2">
        <v>20.57</v>
      </c>
      <c r="G145" s="2">
        <f>SUM(G144+Budget[[#This Row],[Income]]-Budget[[#This Row],[Debit]])</f>
        <v>-6160.4999999999991</v>
      </c>
    </row>
    <row r="146" spans="1:7" x14ac:dyDescent="0.45">
      <c r="A146">
        <f>MONTH(Budget[[#This Row],[Date]])</f>
        <v>12</v>
      </c>
      <c r="B146" s="1">
        <v>46019</v>
      </c>
      <c r="C146" t="s">
        <v>73</v>
      </c>
      <c r="D146" t="s">
        <v>39</v>
      </c>
      <c r="F146" s="2">
        <v>9.9</v>
      </c>
      <c r="G146" s="2">
        <f>SUM(G145+Budget[[#This Row],[Income]]-Budget[[#This Row],[Debit]])</f>
        <v>-6170.3999999999987</v>
      </c>
    </row>
    <row r="147" spans="1:7" x14ac:dyDescent="0.45">
      <c r="A147">
        <f>MONTH(Budget[[#This Row],[Date]])</f>
        <v>12</v>
      </c>
      <c r="B147" s="1">
        <v>46020</v>
      </c>
      <c r="C147" t="s">
        <v>104</v>
      </c>
      <c r="D147" t="s">
        <v>39</v>
      </c>
      <c r="F147" s="2">
        <v>18.71</v>
      </c>
      <c r="G147" s="2">
        <f>SUM(G146+Budget[[#This Row],[Income]]-Budget[[#This Row],[Debit]])</f>
        <v>-6189.1099999999988</v>
      </c>
    </row>
    <row r="148" spans="1:7" x14ac:dyDescent="0.45">
      <c r="A148">
        <f>MONTH(Budget[[#This Row],[Date]])</f>
        <v>12</v>
      </c>
      <c r="B148" s="1">
        <v>46021</v>
      </c>
      <c r="C148" t="s">
        <v>104</v>
      </c>
      <c r="D148" t="s">
        <v>39</v>
      </c>
      <c r="F148" s="2">
        <v>9.82</v>
      </c>
      <c r="G148" s="2">
        <f>SUM(G147+Budget[[#This Row],[Income]]-Budget[[#This Row],[Debit]])</f>
        <v>-6198.9299999999985</v>
      </c>
    </row>
    <row r="149" spans="1:7" x14ac:dyDescent="0.45">
      <c r="A149">
        <f>MONTH(Budget[[#This Row],[Date]])</f>
        <v>12</v>
      </c>
      <c r="B149" s="1">
        <v>46021</v>
      </c>
      <c r="C149" t="s">
        <v>105</v>
      </c>
      <c r="D149" t="s">
        <v>100</v>
      </c>
      <c r="E149" s="6">
        <v>-45</v>
      </c>
      <c r="G149" s="2">
        <f>SUM(G148+Budget[[#This Row],[Income]]-Budget[[#This Row],[Debit]])</f>
        <v>-6243.9299999999985</v>
      </c>
    </row>
    <row r="150" spans="1:7" x14ac:dyDescent="0.45">
      <c r="A150">
        <f>MONTH(Budget[[#This Row],[Date]])</f>
        <v>12</v>
      </c>
      <c r="B150" s="1">
        <v>46021</v>
      </c>
      <c r="C150" t="s">
        <v>106</v>
      </c>
      <c r="D150" t="s">
        <v>100</v>
      </c>
      <c r="E150" s="6">
        <v>-55</v>
      </c>
      <c r="G150" s="2">
        <f>SUM(G149+Budget[[#This Row],[Income]]-Budget[[#This Row],[Debit]])</f>
        <v>-6298.9299999999985</v>
      </c>
    </row>
    <row r="151" spans="1:7" x14ac:dyDescent="0.45">
      <c r="A151">
        <f>MONTH(Budget[[#This Row],[Date]])</f>
        <v>12</v>
      </c>
      <c r="B151" s="1">
        <v>46022</v>
      </c>
      <c r="C151" t="s">
        <v>32</v>
      </c>
      <c r="D151" t="s">
        <v>35</v>
      </c>
      <c r="E151" s="6"/>
      <c r="F151" s="11">
        <v>25.9</v>
      </c>
      <c r="G151" s="2">
        <f>SUM(G150+Budget[[#This Row],[Income]]-Budget[[#This Row],[Debit]])</f>
        <v>-6324.8299999999981</v>
      </c>
    </row>
    <row r="152" spans="1:7" ht="14.65" thickBot="1" x14ac:dyDescent="0.5">
      <c r="A152" s="27">
        <f>MONTH(Budget[[#This Row],[Date]])</f>
        <v>12</v>
      </c>
      <c r="B152" s="28">
        <v>46017</v>
      </c>
      <c r="C152" s="27" t="s">
        <v>17</v>
      </c>
      <c r="D152" s="27" t="s">
        <v>4</v>
      </c>
      <c r="E152" s="46">
        <v>966.96</v>
      </c>
      <c r="F152" s="29"/>
      <c r="G152" s="29">
        <f>SUM(G150+Budget[[#This Row],[Income]]-Budget[[#This Row],[Debit]])</f>
        <v>-5331.9699999999984</v>
      </c>
    </row>
    <row r="153" spans="1:7" ht="14.65" thickTop="1" x14ac:dyDescent="0.45">
      <c r="A153">
        <f>MONTH(Budget[[#This Row],[Date]])</f>
        <v>1</v>
      </c>
      <c r="B153" s="1">
        <v>45659</v>
      </c>
      <c r="C153" t="s">
        <v>107</v>
      </c>
      <c r="D153" t="s">
        <v>29</v>
      </c>
      <c r="F153" s="9">
        <v>406.49</v>
      </c>
      <c r="G153" s="2">
        <f>SUM(G152+Budget[[#This Row],[Income]]-Budget[[#This Row],[Debit]])</f>
        <v>-5738.4599999999982</v>
      </c>
    </row>
    <row r="154" spans="1:7" x14ac:dyDescent="0.45">
      <c r="A154">
        <f>MONTH(Budget[[#This Row],[Date]])</f>
        <v>1</v>
      </c>
      <c r="B154" s="1">
        <v>45666</v>
      </c>
      <c r="C154" t="s">
        <v>108</v>
      </c>
      <c r="D154" t="s">
        <v>13</v>
      </c>
      <c r="F154" s="2">
        <v>594.62</v>
      </c>
      <c r="G154" s="2">
        <f>SUM(G153+Budget[[#This Row],[Income]]-Budget[[#This Row],[Debit]])</f>
        <v>-6333.0799999999981</v>
      </c>
    </row>
    <row r="155" spans="1:7" x14ac:dyDescent="0.45">
      <c r="A155">
        <f>MONTH(Budget[[#This Row],[Date]])</f>
        <v>1</v>
      </c>
      <c r="B155" s="1">
        <v>45666</v>
      </c>
      <c r="C155" t="s">
        <v>17</v>
      </c>
      <c r="D155" t="s">
        <v>4</v>
      </c>
      <c r="E155" s="33">
        <v>750.8</v>
      </c>
      <c r="G155" s="2">
        <f>SUM(G154+Budget[[#This Row],[Income]]-Budget[[#This Row],[Debit]])</f>
        <v>-5582.2799999999979</v>
      </c>
    </row>
    <row r="156" spans="1:7" x14ac:dyDescent="0.45">
      <c r="A156">
        <f>MONTH(Budget[[#This Row],[Date]])</f>
        <v>1</v>
      </c>
      <c r="B156" s="1">
        <v>45662</v>
      </c>
      <c r="C156" t="s">
        <v>98</v>
      </c>
      <c r="D156" t="s">
        <v>100</v>
      </c>
      <c r="E156" s="6">
        <v>-22</v>
      </c>
      <c r="G156" s="2">
        <f>SUM(G155+Budget[[#This Row],[Income]]-Budget[[#This Row],[Debit]])</f>
        <v>-5604.2799999999979</v>
      </c>
    </row>
    <row r="157" spans="1:7" x14ac:dyDescent="0.45">
      <c r="A157">
        <f>MONTH(Budget[[#This Row],[Date]])</f>
        <v>1</v>
      </c>
      <c r="B157" s="1">
        <v>45662</v>
      </c>
      <c r="C157" t="s">
        <v>36</v>
      </c>
      <c r="D157" t="s">
        <v>39</v>
      </c>
      <c r="F157" s="2">
        <v>20.73</v>
      </c>
      <c r="G157" s="2">
        <f>SUM(G156+Budget[[#This Row],[Income]]-Budget[[#This Row],[Debit]])</f>
        <v>-5625.0099999999975</v>
      </c>
    </row>
    <row r="158" spans="1:7" x14ac:dyDescent="0.45">
      <c r="A158">
        <f>MONTH(Budget[[#This Row],[Date]])</f>
        <v>1</v>
      </c>
      <c r="B158" s="1">
        <v>45662</v>
      </c>
      <c r="C158" t="s">
        <v>109</v>
      </c>
      <c r="D158" t="s">
        <v>39</v>
      </c>
      <c r="F158" s="2">
        <v>45</v>
      </c>
      <c r="G158" s="2">
        <f>SUM(G157+Budget[[#This Row],[Income]]-Budget[[#This Row],[Debit]])</f>
        <v>-5670.0099999999975</v>
      </c>
    </row>
    <row r="159" spans="1:7" x14ac:dyDescent="0.45">
      <c r="A159">
        <f>MONTH(Budget[[#This Row],[Date]])</f>
        <v>1</v>
      </c>
      <c r="B159" s="1">
        <v>45664</v>
      </c>
      <c r="C159" t="s">
        <v>76</v>
      </c>
      <c r="D159" t="s">
        <v>39</v>
      </c>
      <c r="F159" s="2">
        <v>13.56</v>
      </c>
      <c r="G159" s="2">
        <f>SUM(G158+Budget[[#This Row],[Income]]-Budget[[#This Row],[Debit]])</f>
        <v>-5683.5699999999979</v>
      </c>
    </row>
    <row r="160" spans="1:7" x14ac:dyDescent="0.45">
      <c r="A160">
        <f>MONTH(Budget[[#This Row],[Date]])</f>
        <v>1</v>
      </c>
      <c r="B160" s="1">
        <v>45666</v>
      </c>
      <c r="C160" t="s">
        <v>110</v>
      </c>
      <c r="D160" t="s">
        <v>13</v>
      </c>
      <c r="F160" s="2">
        <v>86.89</v>
      </c>
      <c r="G160" s="2">
        <f>SUM(G159+Budget[[#This Row],[Income]]-Budget[[#This Row],[Debit]])</f>
        <v>-5770.4599999999982</v>
      </c>
    </row>
    <row r="161" spans="1:7" x14ac:dyDescent="0.45">
      <c r="A161">
        <f>MONTH(Budget[[#This Row],[Date]])</f>
        <v>1</v>
      </c>
      <c r="B161" s="1">
        <v>45670</v>
      </c>
      <c r="C161" t="s">
        <v>111</v>
      </c>
      <c r="D161" t="s">
        <v>100</v>
      </c>
      <c r="E161" s="6">
        <v>-15</v>
      </c>
      <c r="G161" s="2">
        <f>SUM(G160+Budget[[#This Row],[Income]]-Budget[[#This Row],[Debit]])</f>
        <v>-5785.4599999999982</v>
      </c>
    </row>
    <row r="162" spans="1:7" x14ac:dyDescent="0.45">
      <c r="A162">
        <f>MONTH(Budget[[#This Row],[Date]])</f>
        <v>1</v>
      </c>
      <c r="B162" s="1">
        <v>45663</v>
      </c>
      <c r="C162" t="s">
        <v>18</v>
      </c>
      <c r="D162" t="s">
        <v>16</v>
      </c>
      <c r="F162" s="2">
        <v>46.07</v>
      </c>
      <c r="G162" s="2">
        <f>SUM(G161+Budget[[#This Row],[Income]]-Budget[[#This Row],[Debit]])</f>
        <v>-5831.5299999999979</v>
      </c>
    </row>
    <row r="163" spans="1:7" x14ac:dyDescent="0.45">
      <c r="A163">
        <f>MONTH(Budget[[#This Row],[Date]])</f>
        <v>1</v>
      </c>
      <c r="B163" s="1">
        <v>45668</v>
      </c>
      <c r="C163" t="s">
        <v>12</v>
      </c>
      <c r="D163" t="s">
        <v>13</v>
      </c>
      <c r="F163" s="2">
        <v>16.59</v>
      </c>
      <c r="G163" s="2">
        <f>SUM(G162+Budget[[#This Row],[Income]]-Budget[[#This Row],[Debit]])</f>
        <v>-5848.1199999999981</v>
      </c>
    </row>
    <row r="164" spans="1:7" x14ac:dyDescent="0.45">
      <c r="A164">
        <f>MONTH(Budget[[#This Row],[Date]])</f>
        <v>1</v>
      </c>
      <c r="B164" s="1">
        <v>45669</v>
      </c>
      <c r="C164" t="s">
        <v>25</v>
      </c>
      <c r="D164" t="s">
        <v>13</v>
      </c>
      <c r="F164" s="2">
        <v>76.069999999999993</v>
      </c>
      <c r="G164" s="2">
        <f>SUM(G163+Budget[[#This Row],[Income]]-Budget[[#This Row],[Debit]])</f>
        <v>-5924.1899999999978</v>
      </c>
    </row>
    <row r="165" spans="1:7" x14ac:dyDescent="0.45">
      <c r="A165">
        <f>MONTH(Budget[[#This Row],[Date]])</f>
        <v>1</v>
      </c>
      <c r="B165" s="1">
        <v>45669</v>
      </c>
      <c r="C165" t="s">
        <v>112</v>
      </c>
      <c r="D165" t="s">
        <v>13</v>
      </c>
      <c r="F165" s="2">
        <v>10</v>
      </c>
      <c r="G165" s="2">
        <f>SUM(G164+Budget[[#This Row],[Income]]-Budget[[#This Row],[Debit]])</f>
        <v>-5934.1899999999978</v>
      </c>
    </row>
    <row r="166" spans="1:7" x14ac:dyDescent="0.45">
      <c r="A166">
        <f>MONTH(Budget[[#This Row],[Date]])</f>
        <v>1</v>
      </c>
      <c r="B166" s="1">
        <v>45671</v>
      </c>
      <c r="C166" t="s">
        <v>92</v>
      </c>
      <c r="D166" t="s">
        <v>13</v>
      </c>
      <c r="F166" s="2">
        <v>21.64</v>
      </c>
      <c r="G166" s="2">
        <f>SUM(G165+Budget[[#This Row],[Income]]-Budget[[#This Row],[Debit]])</f>
        <v>-5955.8299999999981</v>
      </c>
    </row>
    <row r="167" spans="1:7" x14ac:dyDescent="0.45">
      <c r="A167">
        <f>MONTH(Budget[[#This Row],[Date]])</f>
        <v>1</v>
      </c>
      <c r="B167" s="1">
        <v>45672</v>
      </c>
      <c r="C167" t="s">
        <v>79</v>
      </c>
      <c r="D167" t="s">
        <v>13</v>
      </c>
      <c r="F167" s="2">
        <v>32.369999999999997</v>
      </c>
      <c r="G167" s="2">
        <f>SUM(G166+Budget[[#This Row],[Income]]-Budget[[#This Row],[Debit]])</f>
        <v>-5988.199999999998</v>
      </c>
    </row>
    <row r="168" spans="1:7" x14ac:dyDescent="0.45">
      <c r="A168">
        <f>MONTH(Budget[[#This Row],[Date]])</f>
        <v>1</v>
      </c>
      <c r="B168" s="1">
        <v>45672</v>
      </c>
      <c r="C168" t="s">
        <v>113</v>
      </c>
      <c r="D168" t="s">
        <v>39</v>
      </c>
      <c r="F168" s="2">
        <v>30.29</v>
      </c>
      <c r="G168" s="2">
        <f>SUM(G167+Budget[[#This Row],[Income]]-Budget[[#This Row],[Debit]])</f>
        <v>-6018.489999999998</v>
      </c>
    </row>
    <row r="169" spans="1:7" x14ac:dyDescent="0.45">
      <c r="A169">
        <f>MONTH(Budget[[#This Row],[Date]])</f>
        <v>1</v>
      </c>
      <c r="B169" s="1">
        <v>45672</v>
      </c>
      <c r="C169" t="s">
        <v>114</v>
      </c>
      <c r="D169" t="s">
        <v>29</v>
      </c>
      <c r="F169" s="9">
        <v>909.53</v>
      </c>
      <c r="G169" s="2">
        <f>SUM(G168+Budget[[#This Row],[Income]]-Budget[[#This Row],[Debit]])</f>
        <v>-6928.0199999999977</v>
      </c>
    </row>
    <row r="170" spans="1:7" x14ac:dyDescent="0.45">
      <c r="A170">
        <f>MONTH(Budget[[#This Row],[Date]])</f>
        <v>1</v>
      </c>
      <c r="G170" s="2">
        <f>SUM(G169+Budget[[#This Row],[Income]]-Budget[[#This Row],[Debit]])</f>
        <v>-6928.0199999999977</v>
      </c>
    </row>
    <row r="171" spans="1:7" x14ac:dyDescent="0.45">
      <c r="A171">
        <f>MONTH(Budget[[#This Row],[Date]])</f>
        <v>1</v>
      </c>
      <c r="G171" s="2">
        <f>SUM(G170+Budget[[#This Row],[Income]]-Budget[[#This Row],[Debit]])</f>
        <v>-6928.0199999999977</v>
      </c>
    </row>
    <row r="172" spans="1:7" x14ac:dyDescent="0.45">
      <c r="A172">
        <f>MONTH(Budget[[#This Row],[Date]])</f>
        <v>1</v>
      </c>
      <c r="G172" s="2">
        <f>SUM(G171+Budget[[#This Row],[Income]]-Budget[[#This Row],[Debit]])</f>
        <v>-6928.0199999999977</v>
      </c>
    </row>
    <row r="173" spans="1:7" x14ac:dyDescent="0.45">
      <c r="A173">
        <f>MONTH(Budget[[#This Row],[Date]])</f>
        <v>1</v>
      </c>
      <c r="G173" s="2">
        <f>SUM(G172+Budget[[#This Row],[Income]]-Budget[[#This Row],[Debit]])</f>
        <v>-6928.0199999999977</v>
      </c>
    </row>
    <row r="174" spans="1:7" x14ac:dyDescent="0.45">
      <c r="A174">
        <f>MONTH(Budget[[#This Row],[Date]])</f>
        <v>1</v>
      </c>
      <c r="G174" s="2">
        <f>SUM(G173+Budget[[#This Row],[Income]]-Budget[[#This Row],[Debit]])</f>
        <v>-6928.0199999999977</v>
      </c>
    </row>
    <row r="175" spans="1:7" x14ac:dyDescent="0.45">
      <c r="A175">
        <f>MONTH(Budget[[#This Row],[Date]])</f>
        <v>1</v>
      </c>
      <c r="G175" s="2">
        <f>SUM(G174+Budget[[#This Row],[Income]]-Budget[[#This Row],[Debit]])</f>
        <v>-6928.0199999999977</v>
      </c>
    </row>
    <row r="176" spans="1:7" x14ac:dyDescent="0.45">
      <c r="A176">
        <f>MONTH(Budget[[#This Row],[Date]])</f>
        <v>1</v>
      </c>
      <c r="G176" s="2">
        <f>SUM(G175+Budget[[#This Row],[Income]]-Budget[[#This Row],[Debit]])</f>
        <v>-6928.0199999999977</v>
      </c>
    </row>
    <row r="177" spans="1:7" x14ac:dyDescent="0.45">
      <c r="A177">
        <f>MONTH(Budget[[#This Row],[Date]])</f>
        <v>1</v>
      </c>
      <c r="G177" s="2">
        <f>SUM(G176+Budget[[#This Row],[Income]]-Budget[[#This Row],[Debit]])</f>
        <v>-6928.0199999999977</v>
      </c>
    </row>
    <row r="178" spans="1:7" x14ac:dyDescent="0.45">
      <c r="A178">
        <f>MONTH(Budget[[#This Row],[Date]])</f>
        <v>1</v>
      </c>
      <c r="G178" s="2">
        <f>SUM(G177+Budget[[#This Row],[Income]]-Budget[[#This Row],[Debit]])</f>
        <v>-6928.0199999999977</v>
      </c>
    </row>
    <row r="179" spans="1:7" x14ac:dyDescent="0.45">
      <c r="A179">
        <f>MONTH(Budget[[#This Row],[Date]])</f>
        <v>1</v>
      </c>
      <c r="G179" s="2">
        <f>SUM(G178+Budget[[#This Row],[Income]]-Budget[[#This Row],[Debit]])</f>
        <v>-6928.0199999999977</v>
      </c>
    </row>
    <row r="180" spans="1:7" x14ac:dyDescent="0.45">
      <c r="A180">
        <f>MONTH(Budget[[#This Row],[Date]])</f>
        <v>1</v>
      </c>
      <c r="G180" s="2">
        <f>SUM(G179+Budget[[#This Row],[Income]]-Budget[[#This Row],[Debit]])</f>
        <v>-6928.0199999999977</v>
      </c>
    </row>
    <row r="181" spans="1:7" x14ac:dyDescent="0.45">
      <c r="A181">
        <f>MONTH(Budget[[#This Row],[Date]])</f>
        <v>1</v>
      </c>
      <c r="G181" s="2">
        <f>SUM(G180+Budget[[#This Row],[Income]]-Budget[[#This Row],[Debit]])</f>
        <v>-6928.0199999999977</v>
      </c>
    </row>
    <row r="182" spans="1:7" x14ac:dyDescent="0.45">
      <c r="A182">
        <f>MONTH(Budget[[#This Row],[Date]])</f>
        <v>1</v>
      </c>
      <c r="G182" s="2">
        <f>SUM(G181+Budget[[#This Row],[Income]]-Budget[[#This Row],[Debit]])</f>
        <v>-6928.0199999999977</v>
      </c>
    </row>
    <row r="183" spans="1:7" x14ac:dyDescent="0.45">
      <c r="A183">
        <f>MONTH(Budget[[#This Row],[Date]])</f>
        <v>1</v>
      </c>
      <c r="G183" s="2">
        <f>SUM(G182+Budget[[#This Row],[Income]]-Budget[[#This Row],[Debit]])</f>
        <v>-6928.0199999999977</v>
      </c>
    </row>
    <row r="184" spans="1:7" x14ac:dyDescent="0.45">
      <c r="A184">
        <f>MONTH(Budget[[#This Row],[Date]])</f>
        <v>1</v>
      </c>
      <c r="G184" s="2">
        <f>SUM(G183+Budget[[#This Row],[Income]]-Budget[[#This Row],[Debit]])</f>
        <v>-6928.0199999999977</v>
      </c>
    </row>
    <row r="185" spans="1:7" x14ac:dyDescent="0.45">
      <c r="A185">
        <f>MONTH(Budget[[#This Row],[Date]])</f>
        <v>1</v>
      </c>
      <c r="G185" s="2">
        <f>SUM(G184+Budget[[#This Row],[Income]]-Budget[[#This Row],[Debit]])</f>
        <v>-6928.0199999999977</v>
      </c>
    </row>
    <row r="186" spans="1:7" x14ac:dyDescent="0.45">
      <c r="A186">
        <f>MONTH(Budget[[#This Row],[Date]])</f>
        <v>1</v>
      </c>
      <c r="G186" s="2">
        <f>SUM(G185+Budget[[#This Row],[Income]]-Budget[[#This Row],[Debit]])</f>
        <v>-6928.0199999999977</v>
      </c>
    </row>
    <row r="187" spans="1:7" x14ac:dyDescent="0.45">
      <c r="A187">
        <f>MONTH(Budget[[#This Row],[Date]])</f>
        <v>1</v>
      </c>
      <c r="G187" s="2">
        <f>SUM(G186+Budget[[#This Row],[Income]]-Budget[[#This Row],[Debit]])</f>
        <v>-6928.0199999999977</v>
      </c>
    </row>
    <row r="188" spans="1:7" x14ac:dyDescent="0.45">
      <c r="A188">
        <f>MONTH(Budget[[#This Row],[Date]])</f>
        <v>1</v>
      </c>
      <c r="G188" s="2">
        <f>SUM(G187+Budget[[#This Row],[Income]]-Budget[[#This Row],[Debit]])</f>
        <v>-6928.0199999999977</v>
      </c>
    </row>
    <row r="189" spans="1:7" x14ac:dyDescent="0.45">
      <c r="A189">
        <f>MONTH(Budget[[#This Row],[Date]])</f>
        <v>1</v>
      </c>
      <c r="G189" s="2">
        <f>SUM(G188+Budget[[#This Row],[Income]]-Budget[[#This Row],[Debit]])</f>
        <v>-6928.0199999999977</v>
      </c>
    </row>
    <row r="190" spans="1:7" x14ac:dyDescent="0.45">
      <c r="A190">
        <f>MONTH(Budget[[#This Row],[Date]])</f>
        <v>1</v>
      </c>
      <c r="G190" s="2">
        <f>SUM(G189+Budget[[#This Row],[Income]]-Budget[[#This Row],[Debit]])</f>
        <v>-6928.0199999999977</v>
      </c>
    </row>
    <row r="191" spans="1:7" x14ac:dyDescent="0.45">
      <c r="A191">
        <f>MONTH(Budget[[#This Row],[Date]])</f>
        <v>1</v>
      </c>
      <c r="G191" s="2">
        <f>SUM(G190+Budget[[#This Row],[Income]]-Budget[[#This Row],[Debit]])</f>
        <v>-6928.0199999999977</v>
      </c>
    </row>
    <row r="192" spans="1:7" x14ac:dyDescent="0.45">
      <c r="A192">
        <f>MONTH(Budget[[#This Row],[Date]])</f>
        <v>1</v>
      </c>
      <c r="G192" s="2">
        <f>SUM(G191+Budget[[#This Row],[Income]]-Budget[[#This Row],[Debit]])</f>
        <v>-6928.0199999999977</v>
      </c>
    </row>
    <row r="193" spans="1:7" x14ac:dyDescent="0.45">
      <c r="A193">
        <f>MONTH(Budget[[#This Row],[Date]])</f>
        <v>1</v>
      </c>
      <c r="G193" s="2">
        <f>SUM(G192+Budget[[#This Row],[Income]]-Budget[[#This Row],[Debit]])</f>
        <v>-6928.0199999999977</v>
      </c>
    </row>
    <row r="194" spans="1:7" x14ac:dyDescent="0.45">
      <c r="A194">
        <f>MONTH(Budget[[#This Row],[Date]])</f>
        <v>1</v>
      </c>
      <c r="G194" s="2">
        <f>SUM(G193+Budget[[#This Row],[Income]]-Budget[[#This Row],[Debit]])</f>
        <v>-6928.0199999999977</v>
      </c>
    </row>
    <row r="195" spans="1:7" x14ac:dyDescent="0.45">
      <c r="A195">
        <f>MONTH(Budget[[#This Row],[Date]])</f>
        <v>1</v>
      </c>
      <c r="G195" s="2">
        <f>SUM(G194+Budget[[#This Row],[Income]]-Budget[[#This Row],[Debit]])</f>
        <v>-6928.0199999999977</v>
      </c>
    </row>
    <row r="196" spans="1:7" x14ac:dyDescent="0.45">
      <c r="A196">
        <f>MONTH(Budget[[#This Row],[Date]])</f>
        <v>1</v>
      </c>
      <c r="G196" s="2">
        <f>SUM(G195+Budget[[#This Row],[Income]]-Budget[[#This Row],[Debit]])</f>
        <v>-6928.0199999999977</v>
      </c>
    </row>
    <row r="197" spans="1:7" x14ac:dyDescent="0.45">
      <c r="A197">
        <f>MONTH(Budget[[#This Row],[Date]])</f>
        <v>1</v>
      </c>
      <c r="G197" s="2">
        <f>SUM(G196+Budget[[#This Row],[Income]]-Budget[[#This Row],[Debit]])</f>
        <v>-6928.0199999999977</v>
      </c>
    </row>
    <row r="198" spans="1:7" x14ac:dyDescent="0.45">
      <c r="A198">
        <f>MONTH(Budget[[#This Row],[Date]])</f>
        <v>1</v>
      </c>
      <c r="G198" s="2">
        <f>SUM(G197+Budget[[#This Row],[Income]]-Budget[[#This Row],[Debit]])</f>
        <v>-6928.0199999999977</v>
      </c>
    </row>
    <row r="199" spans="1:7" x14ac:dyDescent="0.45">
      <c r="A199">
        <f>MONTH(Budget[[#This Row],[Date]])</f>
        <v>1</v>
      </c>
      <c r="G199" s="2">
        <f>SUM(G198+Budget[[#This Row],[Income]]-Budget[[#This Row],[Debit]])</f>
        <v>-6928.0199999999977</v>
      </c>
    </row>
    <row r="200" spans="1:7" x14ac:dyDescent="0.45">
      <c r="A200">
        <f>MONTH(Budget[[#This Row],[Date]])</f>
        <v>1</v>
      </c>
      <c r="G200" s="2">
        <f>SUM(G199+Budget[[#This Row],[Income]]-Budget[[#This Row],[Debit]])</f>
        <v>-6928.0199999999977</v>
      </c>
    </row>
    <row r="201" spans="1:7" x14ac:dyDescent="0.45">
      <c r="A201">
        <f>MONTH(Budget[[#This Row],[Date]])</f>
        <v>1</v>
      </c>
      <c r="G201" s="2">
        <f>SUM(G200+Budget[[#This Row],[Income]]-Budget[[#This Row],[Debit]])</f>
        <v>-6928.0199999999977</v>
      </c>
    </row>
    <row r="202" spans="1:7" x14ac:dyDescent="0.45">
      <c r="A202">
        <f>MONTH(Budget[[#This Row],[Date]])</f>
        <v>1</v>
      </c>
      <c r="G202" s="2">
        <f>SUM(G201+Budget[[#This Row],[Income]]-Budget[[#This Row],[Debit]])</f>
        <v>-6928.0199999999977</v>
      </c>
    </row>
    <row r="203" spans="1:7" x14ac:dyDescent="0.45">
      <c r="A203">
        <f>MONTH(Budget[[#This Row],[Date]])</f>
        <v>1</v>
      </c>
      <c r="G203" s="2">
        <f>SUM(G202+Budget[[#This Row],[Income]]-Budget[[#This Row],[Debit]])</f>
        <v>-6928.0199999999977</v>
      </c>
    </row>
    <row r="204" spans="1:7" x14ac:dyDescent="0.45">
      <c r="A204">
        <f>MONTH(Budget[[#This Row],[Date]])</f>
        <v>1</v>
      </c>
      <c r="G204" s="2">
        <f>SUM(G203+Budget[[#This Row],[Income]]-Budget[[#This Row],[Debit]])</f>
        <v>-6928.0199999999977</v>
      </c>
    </row>
    <row r="205" spans="1:7" x14ac:dyDescent="0.45">
      <c r="A205">
        <f>MONTH(Budget[[#This Row],[Date]])</f>
        <v>1</v>
      </c>
      <c r="G205" s="2">
        <f>SUM(G204+Budget[[#This Row],[Income]]-Budget[[#This Row],[Debit]])</f>
        <v>-6928.0199999999977</v>
      </c>
    </row>
    <row r="206" spans="1:7" x14ac:dyDescent="0.45">
      <c r="A206">
        <f>MONTH(Budget[[#This Row],[Date]])</f>
        <v>1</v>
      </c>
      <c r="G206" s="2">
        <f>SUM(G205+Budget[[#This Row],[Income]]-Budget[[#This Row],[Debit]])</f>
        <v>-6928.0199999999977</v>
      </c>
    </row>
    <row r="207" spans="1:7" x14ac:dyDescent="0.45">
      <c r="A207">
        <f>MONTH(Budget[[#This Row],[Date]])</f>
        <v>1</v>
      </c>
      <c r="G207" s="2">
        <f>SUM(G206+Budget[[#This Row],[Income]]-Budget[[#This Row],[Debit]])</f>
        <v>-6928.0199999999977</v>
      </c>
    </row>
    <row r="208" spans="1:7" x14ac:dyDescent="0.45">
      <c r="A208">
        <f>MONTH(Budget[[#This Row],[Date]])</f>
        <v>1</v>
      </c>
      <c r="G208" s="2">
        <f>SUM(G207+Budget[[#This Row],[Income]]-Budget[[#This Row],[Debit]])</f>
        <v>-6928.0199999999977</v>
      </c>
    </row>
    <row r="209" spans="1:7" x14ac:dyDescent="0.45">
      <c r="A209">
        <f>MONTH(Budget[[#This Row],[Date]])</f>
        <v>1</v>
      </c>
      <c r="G209" s="2">
        <f>SUM(G208+Budget[[#This Row],[Income]]-Budget[[#This Row],[Debit]])</f>
        <v>-6928.0199999999977</v>
      </c>
    </row>
    <row r="210" spans="1:7" x14ac:dyDescent="0.45">
      <c r="A210">
        <f>MONTH(Budget[[#This Row],[Date]])</f>
        <v>1</v>
      </c>
      <c r="G210" s="2">
        <f>SUM(G209+Budget[[#This Row],[Income]]-Budget[[#This Row],[Debit]])</f>
        <v>-6928.0199999999977</v>
      </c>
    </row>
    <row r="211" spans="1:7" x14ac:dyDescent="0.45">
      <c r="A211">
        <f>MONTH(Budget[[#This Row],[Date]])</f>
        <v>1</v>
      </c>
      <c r="G211" s="2">
        <f>SUM(G210+Budget[[#This Row],[Income]]-Budget[[#This Row],[Debit]])</f>
        <v>-6928.0199999999977</v>
      </c>
    </row>
    <row r="212" spans="1:7" x14ac:dyDescent="0.45">
      <c r="A212">
        <f>MONTH(Budget[[#This Row],[Date]])</f>
        <v>1</v>
      </c>
      <c r="G212" s="2">
        <f>SUM(G211+Budget[[#This Row],[Income]]-Budget[[#This Row],[Debit]])</f>
        <v>-6928.0199999999977</v>
      </c>
    </row>
    <row r="213" spans="1:7" x14ac:dyDescent="0.45">
      <c r="A213">
        <f>MONTH(Budget[[#This Row],[Date]])</f>
        <v>1</v>
      </c>
      <c r="G213" s="2">
        <f>SUM(G212+Budget[[#This Row],[Income]]-Budget[[#This Row],[Debit]])</f>
        <v>-6928.0199999999977</v>
      </c>
    </row>
    <row r="214" spans="1:7" x14ac:dyDescent="0.45">
      <c r="A214">
        <f>MONTH(Budget[[#This Row],[Date]])</f>
        <v>1</v>
      </c>
      <c r="G214" s="2">
        <f>SUM(G213+Budget[[#This Row],[Income]]-Budget[[#This Row],[Debit]])</f>
        <v>-6928.0199999999977</v>
      </c>
    </row>
    <row r="215" spans="1:7" x14ac:dyDescent="0.45">
      <c r="A215">
        <f>MONTH(Budget[[#This Row],[Date]])</f>
        <v>1</v>
      </c>
      <c r="G215" s="2">
        <f>SUM(G214+Budget[[#This Row],[Income]]-Budget[[#This Row],[Debit]])</f>
        <v>-6928.0199999999977</v>
      </c>
    </row>
    <row r="216" spans="1:7" x14ac:dyDescent="0.45">
      <c r="A216">
        <f>MONTH(Budget[[#This Row],[Date]])</f>
        <v>1</v>
      </c>
      <c r="G216" s="2">
        <f>SUM(G215+Budget[[#This Row],[Income]]-Budget[[#This Row],[Debit]])</f>
        <v>-6928.0199999999977</v>
      </c>
    </row>
    <row r="217" spans="1:7" x14ac:dyDescent="0.45">
      <c r="A217">
        <f>MONTH(Budget[[#This Row],[Date]])</f>
        <v>1</v>
      </c>
      <c r="G217" s="2">
        <f>SUM(G216+Budget[[#This Row],[Income]]-Budget[[#This Row],[Debit]])</f>
        <v>-6928.0199999999977</v>
      </c>
    </row>
    <row r="218" spans="1:7" x14ac:dyDescent="0.45">
      <c r="A218">
        <f>MONTH(Budget[[#This Row],[Date]])</f>
        <v>1</v>
      </c>
      <c r="G218" s="2">
        <f>SUM(G217+Budget[[#This Row],[Income]]-Budget[[#This Row],[Debit]])</f>
        <v>-6928.0199999999977</v>
      </c>
    </row>
    <row r="219" spans="1:7" x14ac:dyDescent="0.45">
      <c r="A219">
        <f>MONTH(Budget[[#This Row],[Date]])</f>
        <v>1</v>
      </c>
      <c r="G219" s="2">
        <f>SUM(G218+Budget[[#This Row],[Income]]-Budget[[#This Row],[Debit]])</f>
        <v>-6928.0199999999977</v>
      </c>
    </row>
    <row r="220" spans="1:7" x14ac:dyDescent="0.45">
      <c r="A220">
        <f>MONTH(Budget[[#This Row],[Date]])</f>
        <v>1</v>
      </c>
      <c r="G220" s="2">
        <f>SUM(G219+Budget[[#This Row],[Income]]-Budget[[#This Row],[Debit]])</f>
        <v>-6928.0199999999977</v>
      </c>
    </row>
    <row r="221" spans="1:7" x14ac:dyDescent="0.45">
      <c r="A221">
        <f>MONTH(Budget[[#This Row],[Date]])</f>
        <v>1</v>
      </c>
      <c r="G221" s="2">
        <f>SUM(G220+Budget[[#This Row],[Income]]-Budget[[#This Row],[Debit]])</f>
        <v>-6928.0199999999977</v>
      </c>
    </row>
    <row r="222" spans="1:7" x14ac:dyDescent="0.45">
      <c r="A222">
        <f>MONTH(Budget[[#This Row],[Date]])</f>
        <v>1</v>
      </c>
      <c r="G222" s="2">
        <f>SUM(G221+Budget[[#This Row],[Income]]-Budget[[#This Row],[Debit]])</f>
        <v>-6928.0199999999977</v>
      </c>
    </row>
    <row r="223" spans="1:7" x14ac:dyDescent="0.45">
      <c r="A223">
        <f>MONTH(Budget[[#This Row],[Date]])</f>
        <v>1</v>
      </c>
      <c r="G223" s="2">
        <f>SUM(G222+Budget[[#This Row],[Income]]-Budget[[#This Row],[Debit]])</f>
        <v>-6928.0199999999977</v>
      </c>
    </row>
    <row r="224" spans="1:7" x14ac:dyDescent="0.45">
      <c r="A224">
        <f>MONTH(Budget[[#This Row],[Date]])</f>
        <v>1</v>
      </c>
      <c r="G224" s="2">
        <f>SUM(G223+Budget[[#This Row],[Income]]-Budget[[#This Row],[Debit]])</f>
        <v>-6928.0199999999977</v>
      </c>
    </row>
    <row r="225" spans="1:7" x14ac:dyDescent="0.45">
      <c r="A225">
        <f>MONTH(Budget[[#This Row],[Date]])</f>
        <v>1</v>
      </c>
      <c r="G225" s="2">
        <f>SUM(G224+Budget[[#This Row],[Income]]-Budget[[#This Row],[Debit]])</f>
        <v>-6928.0199999999977</v>
      </c>
    </row>
    <row r="226" spans="1:7" x14ac:dyDescent="0.45">
      <c r="A226">
        <f>MONTH(Budget[[#This Row],[Date]])</f>
        <v>1</v>
      </c>
      <c r="G226" s="2">
        <f>SUM(G225+Budget[[#This Row],[Income]]-Budget[[#This Row],[Debit]])</f>
        <v>-6928.0199999999977</v>
      </c>
    </row>
    <row r="227" spans="1:7" x14ac:dyDescent="0.45">
      <c r="A227">
        <f>MONTH(Budget[[#This Row],[Date]])</f>
        <v>1</v>
      </c>
      <c r="G227" s="2">
        <f>SUM(G226+Budget[[#This Row],[Income]]-Budget[[#This Row],[Debit]])</f>
        <v>-6928.0199999999977</v>
      </c>
    </row>
    <row r="228" spans="1:7" x14ac:dyDescent="0.45">
      <c r="A228">
        <f>MONTH(Budget[[#This Row],[Date]])</f>
        <v>1</v>
      </c>
      <c r="G228" s="2">
        <f>SUM(G227+Budget[[#This Row],[Income]]-Budget[[#This Row],[Debit]])</f>
        <v>-6928.0199999999977</v>
      </c>
    </row>
    <row r="229" spans="1:7" x14ac:dyDescent="0.45">
      <c r="A229">
        <f>MONTH(Budget[[#This Row],[Date]])</f>
        <v>1</v>
      </c>
      <c r="G229" s="2">
        <f>SUM(G228+Budget[[#This Row],[Income]]-Budget[[#This Row],[Debit]])</f>
        <v>-6928.0199999999977</v>
      </c>
    </row>
    <row r="230" spans="1:7" x14ac:dyDescent="0.45">
      <c r="A230">
        <f>MONTH(Budget[[#This Row],[Date]])</f>
        <v>1</v>
      </c>
      <c r="G230" s="2">
        <f>SUM(G229+Budget[[#This Row],[Income]]-Budget[[#This Row],[Debit]])</f>
        <v>-6928.0199999999977</v>
      </c>
    </row>
    <row r="231" spans="1:7" x14ac:dyDescent="0.45">
      <c r="A231">
        <f>MONTH(Budget[[#This Row],[Date]])</f>
        <v>1</v>
      </c>
      <c r="G231" s="2">
        <f>SUM(G230+Budget[[#This Row],[Income]]-Budget[[#This Row],[Debit]])</f>
        <v>-6928.0199999999977</v>
      </c>
    </row>
    <row r="232" spans="1:7" x14ac:dyDescent="0.45">
      <c r="A232">
        <f>MONTH(Budget[[#This Row],[Date]])</f>
        <v>1</v>
      </c>
      <c r="G232" s="2">
        <f>SUM(G231+Budget[[#This Row],[Income]]-Budget[[#This Row],[Debit]])</f>
        <v>-6928.0199999999977</v>
      </c>
    </row>
    <row r="233" spans="1:7" x14ac:dyDescent="0.45">
      <c r="A233">
        <f>MONTH(Budget[[#This Row],[Date]])</f>
        <v>1</v>
      </c>
      <c r="G233" s="2">
        <f>SUM(G232+Budget[[#This Row],[Income]]-Budget[[#This Row],[Debit]])</f>
        <v>-6928.0199999999977</v>
      </c>
    </row>
    <row r="234" spans="1:7" x14ac:dyDescent="0.45">
      <c r="A234">
        <f>MONTH(Budget[[#This Row],[Date]])</f>
        <v>1</v>
      </c>
      <c r="G234" s="2">
        <f>SUM(G233+Budget[[#This Row],[Income]]-Budget[[#This Row],[Debit]])</f>
        <v>-6928.0199999999977</v>
      </c>
    </row>
    <row r="235" spans="1:7" x14ac:dyDescent="0.45">
      <c r="A235">
        <f>MONTH(Budget[[#This Row],[Date]])</f>
        <v>1</v>
      </c>
      <c r="G235" s="2">
        <f>SUM(G234+Budget[[#This Row],[Income]]-Budget[[#This Row],[Debit]])</f>
        <v>-6928.0199999999977</v>
      </c>
    </row>
    <row r="236" spans="1:7" x14ac:dyDescent="0.45">
      <c r="A236">
        <f>MONTH(Budget[[#This Row],[Date]])</f>
        <v>1</v>
      </c>
      <c r="G236" s="2">
        <f>SUM(G235+Budget[[#This Row],[Income]]-Budget[[#This Row],[Debit]])</f>
        <v>-6928.0199999999977</v>
      </c>
    </row>
    <row r="237" spans="1:7" x14ac:dyDescent="0.45">
      <c r="A237">
        <f>MONTH(Budget[[#This Row],[Date]])</f>
        <v>1</v>
      </c>
      <c r="G237" s="2">
        <f>SUM(G236+Budget[[#This Row],[Income]]-Budget[[#This Row],[Debit]])</f>
        <v>-6928.0199999999977</v>
      </c>
    </row>
    <row r="238" spans="1:7" x14ac:dyDescent="0.45">
      <c r="A238">
        <f>MONTH(Budget[[#This Row],[Date]])</f>
        <v>1</v>
      </c>
      <c r="G238" s="2">
        <f>SUM(G237+Budget[[#This Row],[Income]]-Budget[[#This Row],[Debit]])</f>
        <v>-6928.0199999999977</v>
      </c>
    </row>
    <row r="239" spans="1:7" x14ac:dyDescent="0.45">
      <c r="A239">
        <f>MONTH(Budget[[#This Row],[Date]])</f>
        <v>1</v>
      </c>
      <c r="G239" s="2">
        <f>SUM(G238+Budget[[#This Row],[Income]]-Budget[[#This Row],[Debit]])</f>
        <v>-6928.0199999999977</v>
      </c>
    </row>
    <row r="240" spans="1:7" x14ac:dyDescent="0.45">
      <c r="A240">
        <f>MONTH(Budget[[#This Row],[Date]])</f>
        <v>1</v>
      </c>
      <c r="G240" s="2">
        <f>SUM(G239+Budget[[#This Row],[Income]]-Budget[[#This Row],[Debit]])</f>
        <v>-6928.0199999999977</v>
      </c>
    </row>
    <row r="241" spans="1:7" x14ac:dyDescent="0.45">
      <c r="A241">
        <f>MONTH(Budget[[#This Row],[Date]])</f>
        <v>1</v>
      </c>
      <c r="G241" s="2">
        <f>SUM(G240+Budget[[#This Row],[Income]]-Budget[[#This Row],[Debit]])</f>
        <v>-6928.0199999999977</v>
      </c>
    </row>
    <row r="242" spans="1:7" x14ac:dyDescent="0.45">
      <c r="A242">
        <f>MONTH(Budget[[#This Row],[Date]])</f>
        <v>1</v>
      </c>
      <c r="G242" s="2">
        <f>SUM(G241+Budget[[#This Row],[Income]]-Budget[[#This Row],[Debit]])</f>
        <v>-6928.0199999999977</v>
      </c>
    </row>
    <row r="243" spans="1:7" x14ac:dyDescent="0.45">
      <c r="A243">
        <f>MONTH(Budget[[#This Row],[Date]])</f>
        <v>1</v>
      </c>
      <c r="G243" s="2">
        <f>SUM(G242+Budget[[#This Row],[Income]]-Budget[[#This Row],[Debit]])</f>
        <v>-6928.0199999999977</v>
      </c>
    </row>
    <row r="244" spans="1:7" x14ac:dyDescent="0.45">
      <c r="A244">
        <f>MONTH(Budget[[#This Row],[Date]])</f>
        <v>1</v>
      </c>
      <c r="G244" s="2">
        <f>SUM(G243+Budget[[#This Row],[Income]]-Budget[[#This Row],[Debit]])</f>
        <v>-6928.0199999999977</v>
      </c>
    </row>
    <row r="245" spans="1:7" x14ac:dyDescent="0.45">
      <c r="A245">
        <f>MONTH(Budget[[#This Row],[Date]])</f>
        <v>1</v>
      </c>
      <c r="G245" s="2">
        <f>SUM(G244+Budget[[#This Row],[Income]]-Budget[[#This Row],[Debit]])</f>
        <v>-6928.0199999999977</v>
      </c>
    </row>
    <row r="246" spans="1:7" x14ac:dyDescent="0.45">
      <c r="A246">
        <f>MONTH(Budget[[#This Row],[Date]])</f>
        <v>1</v>
      </c>
      <c r="G246" s="2">
        <f>SUM(G245+Budget[[#This Row],[Income]]-Budget[[#This Row],[Debit]])</f>
        <v>-6928.0199999999977</v>
      </c>
    </row>
    <row r="247" spans="1:7" x14ac:dyDescent="0.45">
      <c r="A247">
        <f>MONTH(Budget[[#This Row],[Date]])</f>
        <v>1</v>
      </c>
      <c r="G247" s="2">
        <f>SUM(G246+Budget[[#This Row],[Income]]-Budget[[#This Row],[Debit]])</f>
        <v>-6928.0199999999977</v>
      </c>
    </row>
    <row r="248" spans="1:7" x14ac:dyDescent="0.45">
      <c r="A248">
        <f>MONTH(Budget[[#This Row],[Date]])</f>
        <v>1</v>
      </c>
      <c r="G248" s="2">
        <f>SUM(G247+Budget[[#This Row],[Income]]-Budget[[#This Row],[Debit]])</f>
        <v>-6928.0199999999977</v>
      </c>
    </row>
    <row r="249" spans="1:7" x14ac:dyDescent="0.45">
      <c r="A249">
        <f>MONTH(Budget[[#This Row],[Date]])</f>
        <v>1</v>
      </c>
      <c r="G249" s="2">
        <f>SUM(G248+Budget[[#This Row],[Income]]-Budget[[#This Row],[Debit]])</f>
        <v>-6928.0199999999977</v>
      </c>
    </row>
    <row r="250" spans="1:7" x14ac:dyDescent="0.45">
      <c r="A250">
        <f>MONTH(Budget[[#This Row],[Date]])</f>
        <v>1</v>
      </c>
      <c r="G250" s="2">
        <f>SUM(G249+Budget[[#This Row],[Income]]-Budget[[#This Row],[Debit]])</f>
        <v>-6928.0199999999977</v>
      </c>
    </row>
    <row r="251" spans="1:7" x14ac:dyDescent="0.45">
      <c r="A251">
        <f>MONTH(Budget[[#This Row],[Date]])</f>
        <v>1</v>
      </c>
      <c r="G251" s="2">
        <f>SUM(G250+Budget[[#This Row],[Income]]-Budget[[#This Row],[Debit]])</f>
        <v>-6928.0199999999977</v>
      </c>
    </row>
    <row r="252" spans="1:7" x14ac:dyDescent="0.45">
      <c r="A252">
        <f>MONTH(Budget[[#This Row],[Date]])</f>
        <v>1</v>
      </c>
      <c r="G252" s="2">
        <f>SUM(G251+Budget[[#This Row],[Income]]-Budget[[#This Row],[Debit]])</f>
        <v>-6928.0199999999977</v>
      </c>
    </row>
    <row r="253" spans="1:7" x14ac:dyDescent="0.45">
      <c r="A253">
        <f>MONTH(Budget[[#This Row],[Date]])</f>
        <v>1</v>
      </c>
      <c r="G253" s="2">
        <f>SUM(G252+Budget[[#This Row],[Income]]-Budget[[#This Row],[Debit]])</f>
        <v>-6928.0199999999977</v>
      </c>
    </row>
    <row r="254" spans="1:7" x14ac:dyDescent="0.45">
      <c r="A254">
        <f>MONTH(Budget[[#This Row],[Date]])</f>
        <v>1</v>
      </c>
      <c r="G254" s="2">
        <f>SUM(G253+Budget[[#This Row],[Income]]-Budget[[#This Row],[Debit]])</f>
        <v>-6928.0199999999977</v>
      </c>
    </row>
    <row r="255" spans="1:7" x14ac:dyDescent="0.45">
      <c r="A255">
        <f>MONTH(Budget[[#This Row],[Date]])</f>
        <v>1</v>
      </c>
      <c r="G255" s="2">
        <f>SUM(G254+Budget[[#This Row],[Income]]-Budget[[#This Row],[Debit]])</f>
        <v>-6928.0199999999977</v>
      </c>
    </row>
    <row r="256" spans="1:7" x14ac:dyDescent="0.45">
      <c r="A256">
        <f>MONTH(Budget[[#This Row],[Date]])</f>
        <v>1</v>
      </c>
      <c r="G256" s="2">
        <f>SUM(G255+Budget[[#This Row],[Income]]-Budget[[#This Row],[Debit]])</f>
        <v>-6928.0199999999977</v>
      </c>
    </row>
    <row r="257" spans="1:7" x14ac:dyDescent="0.45">
      <c r="A257">
        <f>MONTH(Budget[[#This Row],[Date]])</f>
        <v>1</v>
      </c>
      <c r="G257" s="2">
        <f>SUM(G256+Budget[[#This Row],[Income]]-Budget[[#This Row],[Debit]])</f>
        <v>-6928.0199999999977</v>
      </c>
    </row>
    <row r="258" spans="1:7" x14ac:dyDescent="0.45">
      <c r="A258">
        <f>MONTH(Budget[[#This Row],[Date]])</f>
        <v>1</v>
      </c>
      <c r="G258" s="2">
        <f>SUM(G257+Budget[[#This Row],[Income]]-Budget[[#This Row],[Debit]])</f>
        <v>-6928.0199999999977</v>
      </c>
    </row>
    <row r="259" spans="1:7" x14ac:dyDescent="0.45">
      <c r="A259">
        <f>MONTH(Budget[[#This Row],[Date]])</f>
        <v>1</v>
      </c>
      <c r="G259" s="2">
        <f>SUM(G258+Budget[[#This Row],[Income]]-Budget[[#This Row],[Debit]])</f>
        <v>-6928.0199999999977</v>
      </c>
    </row>
    <row r="260" spans="1:7" x14ac:dyDescent="0.45">
      <c r="A260">
        <f>MONTH(Budget[[#This Row],[Date]])</f>
        <v>1</v>
      </c>
      <c r="G260" s="2">
        <f>SUM(G259+Budget[[#This Row],[Income]]-Budget[[#This Row],[Debit]])</f>
        <v>-6928.0199999999977</v>
      </c>
    </row>
    <row r="261" spans="1:7" x14ac:dyDescent="0.45">
      <c r="A261">
        <f>MONTH(Budget[[#This Row],[Date]])</f>
        <v>1</v>
      </c>
      <c r="G261" s="2">
        <f>SUM(G260+Budget[[#This Row],[Income]]-Budget[[#This Row],[Debit]])</f>
        <v>-6928.0199999999977</v>
      </c>
    </row>
    <row r="262" spans="1:7" x14ac:dyDescent="0.45">
      <c r="A262">
        <f>MONTH(Budget[[#This Row],[Date]])</f>
        <v>1</v>
      </c>
      <c r="G262" s="2">
        <f>SUM(G261+Budget[[#This Row],[Income]]-Budget[[#This Row],[Debit]])</f>
        <v>-6928.0199999999977</v>
      </c>
    </row>
    <row r="263" spans="1:7" x14ac:dyDescent="0.45">
      <c r="A263">
        <f>MONTH(Budget[[#This Row],[Date]])</f>
        <v>1</v>
      </c>
      <c r="G263" s="2">
        <f>SUM(G262+Budget[[#This Row],[Income]]-Budget[[#This Row],[Debit]])</f>
        <v>-6928.0199999999977</v>
      </c>
    </row>
    <row r="264" spans="1:7" x14ac:dyDescent="0.45">
      <c r="A264">
        <f>MONTH(Budget[[#This Row],[Date]])</f>
        <v>1</v>
      </c>
      <c r="G264" s="2">
        <f>SUM(G263+Budget[[#This Row],[Income]]-Budget[[#This Row],[Debit]])</f>
        <v>-6928.0199999999977</v>
      </c>
    </row>
    <row r="265" spans="1:7" x14ac:dyDescent="0.45">
      <c r="A265">
        <f>MONTH(Budget[[#This Row],[Date]])</f>
        <v>1</v>
      </c>
      <c r="G265" s="2">
        <f>SUM(G264+Budget[[#This Row],[Income]]-Budget[[#This Row],[Debit]])</f>
        <v>-6928.0199999999977</v>
      </c>
    </row>
    <row r="266" spans="1:7" x14ac:dyDescent="0.45">
      <c r="A266">
        <f>MONTH(Budget[[#This Row],[Date]])</f>
        <v>1</v>
      </c>
      <c r="G266" s="2">
        <f>SUM(G265+Budget[[#This Row],[Income]]-Budget[[#This Row],[Debit]])</f>
        <v>-6928.0199999999977</v>
      </c>
    </row>
    <row r="267" spans="1:7" x14ac:dyDescent="0.45">
      <c r="A267">
        <f>MONTH(Budget[[#This Row],[Date]])</f>
        <v>1</v>
      </c>
      <c r="G267" s="2">
        <f>SUM(G266+Budget[[#This Row],[Income]]-Budget[[#This Row],[Debit]])</f>
        <v>-6928.0199999999977</v>
      </c>
    </row>
    <row r="268" spans="1:7" x14ac:dyDescent="0.45">
      <c r="A268">
        <f>MONTH(Budget[[#This Row],[Date]])</f>
        <v>1</v>
      </c>
      <c r="G268" s="2">
        <f>SUM(G267+Budget[[#This Row],[Income]]-Budget[[#This Row],[Debit]])</f>
        <v>-6928.0199999999977</v>
      </c>
    </row>
    <row r="269" spans="1:7" x14ac:dyDescent="0.45">
      <c r="A269">
        <f>MONTH(Budget[[#This Row],[Date]])</f>
        <v>1</v>
      </c>
      <c r="G269" s="2">
        <f>SUM(G268+Budget[[#This Row],[Income]]-Budget[[#This Row],[Debit]])</f>
        <v>-6928.0199999999977</v>
      </c>
    </row>
    <row r="270" spans="1:7" x14ac:dyDescent="0.45">
      <c r="A270">
        <f>MONTH(Budget[[#This Row],[Date]])</f>
        <v>1</v>
      </c>
      <c r="G270" s="2">
        <f>SUM(G269+Budget[[#This Row],[Income]]-Budget[[#This Row],[Debit]])</f>
        <v>-6928.0199999999977</v>
      </c>
    </row>
    <row r="271" spans="1:7" x14ac:dyDescent="0.45">
      <c r="A271">
        <f>MONTH(Budget[[#This Row],[Date]])</f>
        <v>1</v>
      </c>
      <c r="G271" s="2">
        <f>SUM(G270+Budget[[#This Row],[Income]]-Budget[[#This Row],[Debit]])</f>
        <v>-6928.0199999999977</v>
      </c>
    </row>
    <row r="272" spans="1:7" x14ac:dyDescent="0.45">
      <c r="A272">
        <f>MONTH(Budget[[#This Row],[Date]])</f>
        <v>1</v>
      </c>
      <c r="G272" s="2">
        <f>SUM(G271+Budget[[#This Row],[Income]]-Budget[[#This Row],[Debit]])</f>
        <v>-6928.0199999999977</v>
      </c>
    </row>
    <row r="273" spans="1:7" x14ac:dyDescent="0.45">
      <c r="A273">
        <f>MONTH(Budget[[#This Row],[Date]])</f>
        <v>1</v>
      </c>
      <c r="G273" s="2">
        <f>SUM(G272+Budget[[#This Row],[Income]]-Budget[[#This Row],[Debit]])</f>
        <v>-6928.0199999999977</v>
      </c>
    </row>
    <row r="274" spans="1:7" x14ac:dyDescent="0.45">
      <c r="A274">
        <f>MONTH(Budget[[#This Row],[Date]])</f>
        <v>1</v>
      </c>
      <c r="G274" s="2">
        <f>SUM(G273+Budget[[#This Row],[Income]]-Budget[[#This Row],[Debit]])</f>
        <v>-6928.0199999999977</v>
      </c>
    </row>
    <row r="275" spans="1:7" x14ac:dyDescent="0.45">
      <c r="A275">
        <f>MONTH(Budget[[#This Row],[Date]])</f>
        <v>1</v>
      </c>
      <c r="G275" s="2">
        <f>SUM(G274+Budget[[#This Row],[Income]]-Budget[[#This Row],[Debit]])</f>
        <v>-6928.0199999999977</v>
      </c>
    </row>
    <row r="276" spans="1:7" x14ac:dyDescent="0.45">
      <c r="A276">
        <f>MONTH(Budget[[#This Row],[Date]])</f>
        <v>1</v>
      </c>
      <c r="G276" s="2">
        <f>SUM(G275+Budget[[#This Row],[Income]]-Budget[[#This Row],[Debit]])</f>
        <v>-6928.0199999999977</v>
      </c>
    </row>
    <row r="277" spans="1:7" x14ac:dyDescent="0.45">
      <c r="A277">
        <f>MONTH(Budget[[#This Row],[Date]])</f>
        <v>1</v>
      </c>
      <c r="G277" s="2">
        <f>SUM(G276+Budget[[#This Row],[Income]]-Budget[[#This Row],[Debit]])</f>
        <v>-6928.0199999999977</v>
      </c>
    </row>
    <row r="278" spans="1:7" x14ac:dyDescent="0.45">
      <c r="A278">
        <f>MONTH(Budget[[#This Row],[Date]])</f>
        <v>1</v>
      </c>
      <c r="G278" s="2">
        <f>SUM(G277+Budget[[#This Row],[Income]]-Budget[[#This Row],[Debit]])</f>
        <v>-6928.0199999999977</v>
      </c>
    </row>
    <row r="279" spans="1:7" x14ac:dyDescent="0.45">
      <c r="A279">
        <f>MONTH(Budget[[#This Row],[Date]])</f>
        <v>1</v>
      </c>
      <c r="G279" s="2">
        <f>SUM(G278+Budget[[#This Row],[Income]]-Budget[[#This Row],[Debit]])</f>
        <v>-6928.0199999999977</v>
      </c>
    </row>
    <row r="280" spans="1:7" x14ac:dyDescent="0.45">
      <c r="A280">
        <f>MONTH(Budget[[#This Row],[Date]])</f>
        <v>1</v>
      </c>
      <c r="G280" s="2">
        <f>SUM(G279+Budget[[#This Row],[Income]]-Budget[[#This Row],[Debit]])</f>
        <v>-6928.0199999999977</v>
      </c>
    </row>
    <row r="281" spans="1:7" x14ac:dyDescent="0.45">
      <c r="A281">
        <f>MONTH(Budget[[#This Row],[Date]])</f>
        <v>1</v>
      </c>
      <c r="G281" s="2">
        <f>SUM(G280+Budget[[#This Row],[Income]]-Budget[[#This Row],[Debit]])</f>
        <v>-6928.0199999999977</v>
      </c>
    </row>
    <row r="282" spans="1:7" x14ac:dyDescent="0.45">
      <c r="A282">
        <f>MONTH(Budget[[#This Row],[Date]])</f>
        <v>1</v>
      </c>
      <c r="G282" s="2">
        <f>SUM(G281+Budget[[#This Row],[Income]]-Budget[[#This Row],[Debit]])</f>
        <v>-6928.0199999999977</v>
      </c>
    </row>
    <row r="283" spans="1:7" x14ac:dyDescent="0.45">
      <c r="A283">
        <f>MONTH(Budget[[#This Row],[Date]])</f>
        <v>1</v>
      </c>
      <c r="G283" s="2">
        <f>SUM(G282+Budget[[#This Row],[Income]]-Budget[[#This Row],[Debit]])</f>
        <v>-6928.0199999999977</v>
      </c>
    </row>
    <row r="284" spans="1:7" x14ac:dyDescent="0.45">
      <c r="A284">
        <f>MONTH(Budget[[#This Row],[Date]])</f>
        <v>1</v>
      </c>
      <c r="G284" s="2">
        <f>SUM(G283+Budget[[#This Row],[Income]]-Budget[[#This Row],[Debit]])</f>
        <v>-6928.0199999999977</v>
      </c>
    </row>
    <row r="285" spans="1:7" x14ac:dyDescent="0.45">
      <c r="A285">
        <f>MONTH(Budget[[#This Row],[Date]])</f>
        <v>1</v>
      </c>
      <c r="G285" s="2">
        <f>SUM(G284+Budget[[#This Row],[Income]]-Budget[[#This Row],[Debit]])</f>
        <v>-6928.0199999999977</v>
      </c>
    </row>
    <row r="286" spans="1:7" x14ac:dyDescent="0.45">
      <c r="A286">
        <f>MONTH(Budget[[#This Row],[Date]])</f>
        <v>1</v>
      </c>
      <c r="G286" s="2">
        <f>SUM(G285+Budget[[#This Row],[Income]]-Budget[[#This Row],[Debit]])</f>
        <v>-6928.0199999999977</v>
      </c>
    </row>
    <row r="287" spans="1:7" x14ac:dyDescent="0.45">
      <c r="A287">
        <f>MONTH(Budget[[#This Row],[Date]])</f>
        <v>1</v>
      </c>
      <c r="G287" s="2">
        <f>SUM(G286+Budget[[#This Row],[Income]]-Budget[[#This Row],[Debit]])</f>
        <v>-6928.0199999999977</v>
      </c>
    </row>
    <row r="288" spans="1:7" x14ac:dyDescent="0.45">
      <c r="A288">
        <f>MONTH(Budget[[#This Row],[Date]])</f>
        <v>1</v>
      </c>
      <c r="G288" s="2">
        <f>SUM(G287+Budget[[#This Row],[Income]]-Budget[[#This Row],[Debit]])</f>
        <v>-6928.0199999999977</v>
      </c>
    </row>
    <row r="289" spans="1:7" x14ac:dyDescent="0.45">
      <c r="A289">
        <f>MONTH(Budget[[#This Row],[Date]])</f>
        <v>1</v>
      </c>
      <c r="G289" s="2">
        <f>SUM(G288+Budget[[#This Row],[Income]]-Budget[[#This Row],[Debit]])</f>
        <v>-6928.0199999999977</v>
      </c>
    </row>
    <row r="290" spans="1:7" x14ac:dyDescent="0.45">
      <c r="A290">
        <f>MONTH(Budget[[#This Row],[Date]])</f>
        <v>1</v>
      </c>
      <c r="G290" s="2">
        <f>SUM(G289+Budget[[#This Row],[Income]]-Budget[[#This Row],[Debit]])</f>
        <v>-6928.0199999999977</v>
      </c>
    </row>
    <row r="291" spans="1:7" x14ac:dyDescent="0.45">
      <c r="A291">
        <f>MONTH(Budget[[#This Row],[Date]])</f>
        <v>1</v>
      </c>
      <c r="G291" s="2">
        <f>SUM(G290+Budget[[#This Row],[Income]]-Budget[[#This Row],[Debit]])</f>
        <v>-6928.0199999999977</v>
      </c>
    </row>
    <row r="292" spans="1:7" x14ac:dyDescent="0.45">
      <c r="A292">
        <f>MONTH(Budget[[#This Row],[Date]])</f>
        <v>1</v>
      </c>
      <c r="G292" s="2">
        <f>SUM(G291+Budget[[#This Row],[Income]]-Budget[[#This Row],[Debit]])</f>
        <v>-6928.0199999999977</v>
      </c>
    </row>
    <row r="293" spans="1:7" x14ac:dyDescent="0.45">
      <c r="A293">
        <f>MONTH(Budget[[#This Row],[Date]])</f>
        <v>1</v>
      </c>
      <c r="G293" s="2">
        <f>SUM(G292+Budget[[#This Row],[Income]]-Budget[[#This Row],[Debit]])</f>
        <v>-6928.0199999999977</v>
      </c>
    </row>
    <row r="294" spans="1:7" x14ac:dyDescent="0.45">
      <c r="A294">
        <f>MONTH(Budget[[#This Row],[Date]])</f>
        <v>1</v>
      </c>
      <c r="G294" s="2">
        <f>SUM(G293+Budget[[#This Row],[Income]]-Budget[[#This Row],[Debit]])</f>
        <v>-6928.0199999999977</v>
      </c>
    </row>
    <row r="295" spans="1:7" x14ac:dyDescent="0.45">
      <c r="A295">
        <f>MONTH(Budget[[#This Row],[Date]])</f>
        <v>1</v>
      </c>
      <c r="G295" s="2">
        <f>SUM(G294+Budget[[#This Row],[Income]]-Budget[[#This Row],[Debit]])</f>
        <v>-6928.0199999999977</v>
      </c>
    </row>
    <row r="296" spans="1:7" x14ac:dyDescent="0.45">
      <c r="A296">
        <f>MONTH(Budget[[#This Row],[Date]])</f>
        <v>1</v>
      </c>
      <c r="G296" s="2">
        <f>SUM(G295+Budget[[#This Row],[Income]]-Budget[[#This Row],[Debit]])</f>
        <v>-6928.0199999999977</v>
      </c>
    </row>
    <row r="297" spans="1:7" x14ac:dyDescent="0.45">
      <c r="A297">
        <f>MONTH(Budget[[#This Row],[Date]])</f>
        <v>1</v>
      </c>
      <c r="G297" s="2">
        <f>SUM(G296+Budget[[#This Row],[Income]]-Budget[[#This Row],[Debit]])</f>
        <v>-6928.0199999999977</v>
      </c>
    </row>
    <row r="298" spans="1:7" x14ac:dyDescent="0.45">
      <c r="A298">
        <f>MONTH(Budget[[#This Row],[Date]])</f>
        <v>1</v>
      </c>
      <c r="G298" s="2">
        <f>SUM(G297+Budget[[#This Row],[Income]]-Budget[[#This Row],[Debit]])</f>
        <v>-6928.0199999999977</v>
      </c>
    </row>
    <row r="299" spans="1:7" x14ac:dyDescent="0.45">
      <c r="A299">
        <f>MONTH(Budget[[#This Row],[Date]])</f>
        <v>1</v>
      </c>
      <c r="G299" s="2">
        <f>SUM(G298+Budget[[#This Row],[Income]]-Budget[[#This Row],[Debit]])</f>
        <v>-6928.0199999999977</v>
      </c>
    </row>
    <row r="300" spans="1:7" x14ac:dyDescent="0.45">
      <c r="A300">
        <f>MONTH(Budget[[#This Row],[Date]])</f>
        <v>1</v>
      </c>
      <c r="G300" s="2">
        <f>SUM(G299+Budget[[#This Row],[Income]]-Budget[[#This Row],[Debit]])</f>
        <v>-6928.0199999999977</v>
      </c>
    </row>
    <row r="301" spans="1:7" x14ac:dyDescent="0.45">
      <c r="A301">
        <f>MONTH(Budget[[#This Row],[Date]])</f>
        <v>1</v>
      </c>
      <c r="G301" s="2">
        <f>SUM(G300+Budget[[#This Row],[Income]]-Budget[[#This Row],[Debit]])</f>
        <v>-6928.0199999999977</v>
      </c>
    </row>
    <row r="302" spans="1:7" x14ac:dyDescent="0.45">
      <c r="A302">
        <f>MONTH(Budget[[#This Row],[Date]])</f>
        <v>1</v>
      </c>
      <c r="G302" s="2">
        <f>SUM(G301+Budget[[#This Row],[Income]]-Budget[[#This Row],[Debit]])</f>
        <v>-6928.0199999999977</v>
      </c>
    </row>
    <row r="303" spans="1:7" x14ac:dyDescent="0.45">
      <c r="A303">
        <f>MONTH(Budget[[#This Row],[Date]])</f>
        <v>1</v>
      </c>
      <c r="G303" s="2">
        <f>SUM(G302+Budget[[#This Row],[Income]]-Budget[[#This Row],[Debit]])</f>
        <v>-6928.0199999999977</v>
      </c>
    </row>
    <row r="304" spans="1:7" x14ac:dyDescent="0.45">
      <c r="A304">
        <f>MONTH(Budget[[#This Row],[Date]])</f>
        <v>1</v>
      </c>
      <c r="G304" s="2">
        <f>SUM(G303+Budget[[#This Row],[Income]]-Budget[[#This Row],[Debit]])</f>
        <v>-6928.0199999999977</v>
      </c>
    </row>
    <row r="305" spans="1:7" x14ac:dyDescent="0.45">
      <c r="A305">
        <f>MONTH(Budget[[#This Row],[Date]])</f>
        <v>1</v>
      </c>
      <c r="G305" s="2">
        <f>SUM(G304+Budget[[#This Row],[Income]]-Budget[[#This Row],[Debit]])</f>
        <v>-6928.0199999999977</v>
      </c>
    </row>
    <row r="306" spans="1:7" x14ac:dyDescent="0.45">
      <c r="A306">
        <f>MONTH(Budget[[#This Row],[Date]])</f>
        <v>1</v>
      </c>
      <c r="G306" s="2">
        <f>SUM(G305+Budget[[#This Row],[Income]]-Budget[[#This Row],[Debit]])</f>
        <v>-6928.0199999999977</v>
      </c>
    </row>
    <row r="307" spans="1:7" x14ac:dyDescent="0.45">
      <c r="A307">
        <f>MONTH(Budget[[#This Row],[Date]])</f>
        <v>1</v>
      </c>
      <c r="G307" s="2">
        <f>SUM(G306+Budget[[#This Row],[Income]]-Budget[[#This Row],[Debit]])</f>
        <v>-6928.0199999999977</v>
      </c>
    </row>
    <row r="308" spans="1:7" x14ac:dyDescent="0.45">
      <c r="A308">
        <f>MONTH(Budget[[#This Row],[Date]])</f>
        <v>1</v>
      </c>
      <c r="G308" s="2">
        <f>SUM(G307+Budget[[#This Row],[Income]]-Budget[[#This Row],[Debit]])</f>
        <v>-6928.0199999999977</v>
      </c>
    </row>
    <row r="309" spans="1:7" x14ac:dyDescent="0.45">
      <c r="A309">
        <f>MONTH(Budget[[#This Row],[Date]])</f>
        <v>1</v>
      </c>
      <c r="G309" s="2">
        <f>SUM(G308+Budget[[#This Row],[Income]]-Budget[[#This Row],[Debit]])</f>
        <v>-6928.0199999999977</v>
      </c>
    </row>
    <row r="310" spans="1:7" x14ac:dyDescent="0.45">
      <c r="A310">
        <f>MONTH(Budget[[#This Row],[Date]])</f>
        <v>1</v>
      </c>
      <c r="G310" s="2">
        <f>SUM(G309+Budget[[#This Row],[Income]]-Budget[[#This Row],[Debit]])</f>
        <v>-6928.0199999999977</v>
      </c>
    </row>
    <row r="311" spans="1:7" x14ac:dyDescent="0.45">
      <c r="A311">
        <f>MONTH(Budget[[#This Row],[Date]])</f>
        <v>1</v>
      </c>
      <c r="G311" s="2">
        <f>SUM(G310+Budget[[#This Row],[Income]]-Budget[[#This Row],[Debit]])</f>
        <v>-6928.0199999999977</v>
      </c>
    </row>
    <row r="312" spans="1:7" x14ac:dyDescent="0.45">
      <c r="A312">
        <f>MONTH(Budget[[#This Row],[Date]])</f>
        <v>1</v>
      </c>
      <c r="G312" s="2">
        <f>SUM(G311+Budget[[#This Row],[Income]]-Budget[[#This Row],[Debit]])</f>
        <v>-6928.0199999999977</v>
      </c>
    </row>
    <row r="313" spans="1:7" x14ac:dyDescent="0.45">
      <c r="A313">
        <f>MONTH(Budget[[#This Row],[Date]])</f>
        <v>1</v>
      </c>
      <c r="G313" s="2">
        <f>SUM(G312+Budget[[#This Row],[Income]]-Budget[[#This Row],[Debit]])</f>
        <v>-6928.0199999999977</v>
      </c>
    </row>
    <row r="314" spans="1:7" x14ac:dyDescent="0.45">
      <c r="A314">
        <f>MONTH(Budget[[#This Row],[Date]])</f>
        <v>1</v>
      </c>
      <c r="G314" s="2">
        <f>SUM(G313+Budget[[#This Row],[Income]]-Budget[[#This Row],[Debit]])</f>
        <v>-6928.0199999999977</v>
      </c>
    </row>
    <row r="315" spans="1:7" x14ac:dyDescent="0.45">
      <c r="A315">
        <f>MONTH(Budget[[#This Row],[Date]])</f>
        <v>1</v>
      </c>
      <c r="G315" s="2">
        <f>SUM(G314+Budget[[#This Row],[Income]]-Budget[[#This Row],[Debit]])</f>
        <v>-6928.0199999999977</v>
      </c>
    </row>
    <row r="316" spans="1:7" x14ac:dyDescent="0.45">
      <c r="A316">
        <f>MONTH(Budget[[#This Row],[Date]])</f>
        <v>1</v>
      </c>
      <c r="G316" s="2">
        <f>SUM(G315+Budget[[#This Row],[Income]]-Budget[[#This Row],[Debit]])</f>
        <v>-6928.0199999999977</v>
      </c>
    </row>
    <row r="317" spans="1:7" x14ac:dyDescent="0.45">
      <c r="A317">
        <f>MONTH(Budget[[#This Row],[Date]])</f>
        <v>1</v>
      </c>
      <c r="G317" s="2">
        <f>SUM(G316+Budget[[#This Row],[Income]]-Budget[[#This Row],[Debit]])</f>
        <v>-6928.0199999999977</v>
      </c>
    </row>
    <row r="318" spans="1:7" x14ac:dyDescent="0.45">
      <c r="A318">
        <f>MONTH(Budget[[#This Row],[Date]])</f>
        <v>1</v>
      </c>
      <c r="G318" s="2">
        <f>SUM(G317+Budget[[#This Row],[Income]]-Budget[[#This Row],[Debit]])</f>
        <v>-6928.0199999999977</v>
      </c>
    </row>
    <row r="319" spans="1:7" x14ac:dyDescent="0.45">
      <c r="A319">
        <f>MONTH(Budget[[#This Row],[Date]])</f>
        <v>1</v>
      </c>
      <c r="G319" s="2">
        <f>SUM(G318+Budget[[#This Row],[Income]]-Budget[[#This Row],[Debit]])</f>
        <v>-6928.0199999999977</v>
      </c>
    </row>
    <row r="320" spans="1:7" x14ac:dyDescent="0.45">
      <c r="A320">
        <f>MONTH(Budget[[#This Row],[Date]])</f>
        <v>1</v>
      </c>
      <c r="G320" s="2">
        <f>SUM(G319+Budget[[#This Row],[Income]]-Budget[[#This Row],[Debit]])</f>
        <v>-6928.0199999999977</v>
      </c>
    </row>
    <row r="321" spans="1:7" x14ac:dyDescent="0.45">
      <c r="A321">
        <f>MONTH(Budget[[#This Row],[Date]])</f>
        <v>1</v>
      </c>
      <c r="G321" s="2">
        <f>SUM(G320+Budget[[#This Row],[Income]]-Budget[[#This Row],[Debit]])</f>
        <v>-6928.0199999999977</v>
      </c>
    </row>
    <row r="322" spans="1:7" x14ac:dyDescent="0.45">
      <c r="A322">
        <f>MONTH(Budget[[#This Row],[Date]])</f>
        <v>1</v>
      </c>
      <c r="G322" s="2">
        <f>SUM(G321+Budget[[#This Row],[Income]]-Budget[[#This Row],[Debit]])</f>
        <v>-6928.0199999999977</v>
      </c>
    </row>
    <row r="323" spans="1:7" x14ac:dyDescent="0.45">
      <c r="A323">
        <f>MONTH(Budget[[#This Row],[Date]])</f>
        <v>1</v>
      </c>
      <c r="G323" s="2">
        <f>SUM(G322+Budget[[#This Row],[Income]]-Budget[[#This Row],[Debit]])</f>
        <v>-6928.0199999999977</v>
      </c>
    </row>
    <row r="324" spans="1:7" x14ac:dyDescent="0.45">
      <c r="A324">
        <f>MONTH(Budget[[#This Row],[Date]])</f>
        <v>1</v>
      </c>
      <c r="G324" s="2">
        <f>SUM(G323+Budget[[#This Row],[Income]]-Budget[[#This Row],[Debit]])</f>
        <v>-6928.0199999999977</v>
      </c>
    </row>
    <row r="325" spans="1:7" x14ac:dyDescent="0.45">
      <c r="A325">
        <f>MONTH(Budget[[#This Row],[Date]])</f>
        <v>1</v>
      </c>
      <c r="G325" s="2">
        <f>SUM(G324+Budget[[#This Row],[Income]]-Budget[[#This Row],[Debit]])</f>
        <v>-6928.0199999999977</v>
      </c>
    </row>
    <row r="326" spans="1:7" x14ac:dyDescent="0.45">
      <c r="A326">
        <f>MONTH(Budget[[#This Row],[Date]])</f>
        <v>1</v>
      </c>
      <c r="G326" s="2">
        <f>SUM(G325+Budget[[#This Row],[Income]]-Budget[[#This Row],[Debit]])</f>
        <v>-6928.0199999999977</v>
      </c>
    </row>
    <row r="327" spans="1:7" x14ac:dyDescent="0.45">
      <c r="A327">
        <f>MONTH(Budget[[#This Row],[Date]])</f>
        <v>1</v>
      </c>
      <c r="G327" s="2">
        <f>SUM(G326+Budget[[#This Row],[Income]]-Budget[[#This Row],[Debit]])</f>
        <v>-6928.0199999999977</v>
      </c>
    </row>
    <row r="328" spans="1:7" x14ac:dyDescent="0.45">
      <c r="A328">
        <f>MONTH(Budget[[#This Row],[Date]])</f>
        <v>1</v>
      </c>
      <c r="G328" s="2">
        <f>SUM(G327+Budget[[#This Row],[Income]]-Budget[[#This Row],[Debit]])</f>
        <v>-6928.0199999999977</v>
      </c>
    </row>
    <row r="329" spans="1:7" x14ac:dyDescent="0.45">
      <c r="A329">
        <f>MONTH(Budget[[#This Row],[Date]])</f>
        <v>1</v>
      </c>
      <c r="G329" s="2">
        <f>SUM(G328+Budget[[#This Row],[Income]]-Budget[[#This Row],[Debit]])</f>
        <v>-6928.0199999999977</v>
      </c>
    </row>
    <row r="330" spans="1:7" x14ac:dyDescent="0.45">
      <c r="A330">
        <f>MONTH(Budget[[#This Row],[Date]])</f>
        <v>1</v>
      </c>
      <c r="G330" s="2">
        <f>SUM(G329+Budget[[#This Row],[Income]]-Budget[[#This Row],[Debit]])</f>
        <v>-6928.0199999999977</v>
      </c>
    </row>
    <row r="331" spans="1:7" x14ac:dyDescent="0.45">
      <c r="A331">
        <f>MONTH(Budget[[#This Row],[Date]])</f>
        <v>1</v>
      </c>
      <c r="G331" s="2">
        <f>SUM(G330+Budget[[#This Row],[Income]]-Budget[[#This Row],[Debit]])</f>
        <v>-6928.0199999999977</v>
      </c>
    </row>
    <row r="332" spans="1:7" x14ac:dyDescent="0.45">
      <c r="A332">
        <f>MONTH(Budget[[#This Row],[Date]])</f>
        <v>1</v>
      </c>
      <c r="G332" s="2">
        <f>SUM(G331+Budget[[#This Row],[Income]]-Budget[[#This Row],[Debit]])</f>
        <v>-6928.0199999999977</v>
      </c>
    </row>
    <row r="333" spans="1:7" x14ac:dyDescent="0.45">
      <c r="A333">
        <f>MONTH(Budget[[#This Row],[Date]])</f>
        <v>1</v>
      </c>
      <c r="G333" s="2">
        <f>SUM(G332+Budget[[#This Row],[Income]]-Budget[[#This Row],[Debit]])</f>
        <v>-6928.0199999999977</v>
      </c>
    </row>
    <row r="334" spans="1:7" x14ac:dyDescent="0.45">
      <c r="A334">
        <f>MONTH(Budget[[#This Row],[Date]])</f>
        <v>1</v>
      </c>
      <c r="G334" s="2">
        <f>SUM(G333+Budget[[#This Row],[Income]]-Budget[[#This Row],[Debit]])</f>
        <v>-6928.0199999999977</v>
      </c>
    </row>
    <row r="335" spans="1:7" x14ac:dyDescent="0.45">
      <c r="A335">
        <f>MONTH(Budget[[#This Row],[Date]])</f>
        <v>1</v>
      </c>
      <c r="G335" s="2">
        <f>SUM(G334+Budget[[#This Row],[Income]]-Budget[[#This Row],[Debit]])</f>
        <v>-6928.0199999999977</v>
      </c>
    </row>
    <row r="336" spans="1:7" x14ac:dyDescent="0.45">
      <c r="A336">
        <f>MONTH(Budget[[#This Row],[Date]])</f>
        <v>1</v>
      </c>
      <c r="G336" s="2">
        <f>SUM(G335+Budget[[#This Row],[Income]]-Budget[[#This Row],[Debit]])</f>
        <v>-6928.0199999999977</v>
      </c>
    </row>
    <row r="337" spans="1:7" x14ac:dyDescent="0.45">
      <c r="A337">
        <f>MONTH(Budget[[#This Row],[Date]])</f>
        <v>1</v>
      </c>
      <c r="G337" s="2">
        <f>SUM(G336+Budget[[#This Row],[Income]]-Budget[[#This Row],[Debit]])</f>
        <v>-6928.0199999999977</v>
      </c>
    </row>
    <row r="338" spans="1:7" x14ac:dyDescent="0.45">
      <c r="A338">
        <f>MONTH(Budget[[#This Row],[Date]])</f>
        <v>1</v>
      </c>
      <c r="G338" s="2">
        <f>SUM(G337+Budget[[#This Row],[Income]]-Budget[[#This Row],[Debit]])</f>
        <v>-6928.0199999999977</v>
      </c>
    </row>
    <row r="339" spans="1:7" x14ac:dyDescent="0.45">
      <c r="A339">
        <f>MONTH(Budget[[#This Row],[Date]])</f>
        <v>1</v>
      </c>
      <c r="G339" s="2">
        <f>SUM(G338+Budget[[#This Row],[Income]]-Budget[[#This Row],[Debit]])</f>
        <v>-6928.0199999999977</v>
      </c>
    </row>
    <row r="340" spans="1:7" x14ac:dyDescent="0.45">
      <c r="A340">
        <f>MONTH(Budget[[#This Row],[Date]])</f>
        <v>1</v>
      </c>
      <c r="G340" s="2">
        <f>SUM(G339+Budget[[#This Row],[Income]]-Budget[[#This Row],[Debit]])</f>
        <v>-6928.0199999999977</v>
      </c>
    </row>
    <row r="341" spans="1:7" x14ac:dyDescent="0.45">
      <c r="A341">
        <f>MONTH(Budget[[#This Row],[Date]])</f>
        <v>1</v>
      </c>
      <c r="G341" s="2">
        <f>SUM(G340+Budget[[#This Row],[Income]]-Budget[[#This Row],[Debit]])</f>
        <v>-6928.0199999999977</v>
      </c>
    </row>
    <row r="342" spans="1:7" x14ac:dyDescent="0.45">
      <c r="A342">
        <f>MONTH(Budget[[#This Row],[Date]])</f>
        <v>1</v>
      </c>
      <c r="G342" s="2">
        <f>SUM(G341+Budget[[#This Row],[Income]]-Budget[[#This Row],[Debit]])</f>
        <v>-6928.0199999999977</v>
      </c>
    </row>
    <row r="343" spans="1:7" x14ac:dyDescent="0.45">
      <c r="A343">
        <f>MONTH(Budget[[#This Row],[Date]])</f>
        <v>1</v>
      </c>
      <c r="G343" s="2">
        <f>SUM(G342+Budget[[#This Row],[Income]]-Budget[[#This Row],[Debit]])</f>
        <v>-6928.0199999999977</v>
      </c>
    </row>
    <row r="344" spans="1:7" x14ac:dyDescent="0.45">
      <c r="A344">
        <f>MONTH(Budget[[#This Row],[Date]])</f>
        <v>1</v>
      </c>
      <c r="G344" s="2">
        <f>SUM(G343+Budget[[#This Row],[Income]]-Budget[[#This Row],[Debit]])</f>
        <v>-6928.0199999999977</v>
      </c>
    </row>
    <row r="345" spans="1:7" x14ac:dyDescent="0.45">
      <c r="A345">
        <f>MONTH(Budget[[#This Row],[Date]])</f>
        <v>1</v>
      </c>
      <c r="G345" s="2">
        <f>SUM(G344+Budget[[#This Row],[Income]]-Budget[[#This Row],[Debit]])</f>
        <v>-6928.0199999999977</v>
      </c>
    </row>
    <row r="346" spans="1:7" x14ac:dyDescent="0.45">
      <c r="A346">
        <f>MONTH(Budget[[#This Row],[Date]])</f>
        <v>1</v>
      </c>
      <c r="G346" s="2">
        <f>SUM(G345+Budget[[#This Row],[Income]]-Budget[[#This Row],[Debit]])</f>
        <v>-6928.0199999999977</v>
      </c>
    </row>
    <row r="347" spans="1:7" x14ac:dyDescent="0.45">
      <c r="A347">
        <f>MONTH(Budget[[#This Row],[Date]])</f>
        <v>1</v>
      </c>
      <c r="G347" s="2">
        <f>SUM(G346+Budget[[#This Row],[Income]]-Budget[[#This Row],[Debit]])</f>
        <v>-6928.0199999999977</v>
      </c>
    </row>
    <row r="348" spans="1:7" x14ac:dyDescent="0.45">
      <c r="A348">
        <f>MONTH(Budget[[#This Row],[Date]])</f>
        <v>1</v>
      </c>
      <c r="G348" s="2">
        <f>SUM(G347+Budget[[#This Row],[Income]]-Budget[[#This Row],[Debit]])</f>
        <v>-6928.0199999999977</v>
      </c>
    </row>
    <row r="349" spans="1:7" x14ac:dyDescent="0.45">
      <c r="A349">
        <f>MONTH(Budget[[#This Row],[Date]])</f>
        <v>1</v>
      </c>
      <c r="G349" s="2">
        <f>SUM(G348+Budget[[#This Row],[Income]]-Budget[[#This Row],[Debit]])</f>
        <v>-6928.0199999999977</v>
      </c>
    </row>
    <row r="350" spans="1:7" x14ac:dyDescent="0.45">
      <c r="A350">
        <f>MONTH(Budget[[#This Row],[Date]])</f>
        <v>1</v>
      </c>
      <c r="G350" s="2">
        <f>SUM(G349+Budget[[#This Row],[Income]]-Budget[[#This Row],[Debit]])</f>
        <v>-6928.0199999999977</v>
      </c>
    </row>
    <row r="351" spans="1:7" x14ac:dyDescent="0.45">
      <c r="A351">
        <f>MONTH(Budget[[#This Row],[Date]])</f>
        <v>1</v>
      </c>
      <c r="G351" s="2">
        <f>SUM(G350+Budget[[#This Row],[Income]]-Budget[[#This Row],[Debit]])</f>
        <v>-6928.0199999999977</v>
      </c>
    </row>
    <row r="352" spans="1:7" x14ac:dyDescent="0.45">
      <c r="A352">
        <f>MONTH(Budget[[#This Row],[Date]])</f>
        <v>1</v>
      </c>
      <c r="G352" s="2">
        <f>SUM(G351+Budget[[#This Row],[Income]]-Budget[[#This Row],[Debit]])</f>
        <v>-6928.0199999999977</v>
      </c>
    </row>
    <row r="353" spans="1:7" x14ac:dyDescent="0.45">
      <c r="A353">
        <f>MONTH(Budget[[#This Row],[Date]])</f>
        <v>1</v>
      </c>
      <c r="G353" s="2">
        <f>SUM(G352+Budget[[#This Row],[Income]]-Budget[[#This Row],[Debit]])</f>
        <v>-6928.0199999999977</v>
      </c>
    </row>
    <row r="354" spans="1:7" x14ac:dyDescent="0.45">
      <c r="A354">
        <f>MONTH(Budget[[#This Row],[Date]])</f>
        <v>1</v>
      </c>
      <c r="G354" s="2">
        <f>SUM(G353+Budget[[#This Row],[Income]]-Budget[[#This Row],[Debit]])</f>
        <v>-6928.0199999999977</v>
      </c>
    </row>
    <row r="355" spans="1:7" x14ac:dyDescent="0.45">
      <c r="A355">
        <f>MONTH(Budget[[#This Row],[Date]])</f>
        <v>1</v>
      </c>
      <c r="G355" s="2">
        <f>SUM(G354+Budget[[#This Row],[Income]]-Budget[[#This Row],[Debit]])</f>
        <v>-6928.0199999999977</v>
      </c>
    </row>
    <row r="356" spans="1:7" x14ac:dyDescent="0.45">
      <c r="A356">
        <f>MONTH(Budget[[#This Row],[Date]])</f>
        <v>1</v>
      </c>
      <c r="G356" s="2">
        <f>SUM(G355+Budget[[#This Row],[Income]]-Budget[[#This Row],[Debit]])</f>
        <v>-6928.0199999999977</v>
      </c>
    </row>
    <row r="357" spans="1:7" x14ac:dyDescent="0.45">
      <c r="A357">
        <f>MONTH(Budget[[#This Row],[Date]])</f>
        <v>1</v>
      </c>
      <c r="G357" s="2">
        <f>SUM(G356+Budget[[#This Row],[Income]]-Budget[[#This Row],[Debit]])</f>
        <v>-6928.0199999999977</v>
      </c>
    </row>
    <row r="358" spans="1:7" x14ac:dyDescent="0.45">
      <c r="A358">
        <f>MONTH(Budget[[#This Row],[Date]])</f>
        <v>1</v>
      </c>
      <c r="G358" s="2">
        <f>SUM(G357+Budget[[#This Row],[Income]]-Budget[[#This Row],[Debit]])</f>
        <v>-6928.0199999999977</v>
      </c>
    </row>
    <row r="359" spans="1:7" x14ac:dyDescent="0.45">
      <c r="A359">
        <f>MONTH(Budget[[#This Row],[Date]])</f>
        <v>1</v>
      </c>
      <c r="G359" s="2">
        <f>SUM(G358+Budget[[#This Row],[Income]]-Budget[[#This Row],[Debit]])</f>
        <v>-6928.0199999999977</v>
      </c>
    </row>
    <row r="360" spans="1:7" x14ac:dyDescent="0.45">
      <c r="A360">
        <f>MONTH(Budget[[#This Row],[Date]])</f>
        <v>1</v>
      </c>
      <c r="G360" s="2">
        <f>SUM(G359+Budget[[#This Row],[Income]]-Budget[[#This Row],[Debit]])</f>
        <v>-6928.0199999999977</v>
      </c>
    </row>
    <row r="361" spans="1:7" x14ac:dyDescent="0.45">
      <c r="A361">
        <f>MONTH(Budget[[#This Row],[Date]])</f>
        <v>1</v>
      </c>
      <c r="G361" s="2">
        <f>SUM(G360+Budget[[#This Row],[Income]]-Budget[[#This Row],[Debit]])</f>
        <v>-6928.0199999999977</v>
      </c>
    </row>
    <row r="362" spans="1:7" x14ac:dyDescent="0.45">
      <c r="A362">
        <f>MONTH(Budget[[#This Row],[Date]])</f>
        <v>1</v>
      </c>
      <c r="G362" s="2">
        <f>SUM(G361+Budget[[#This Row],[Income]]-Budget[[#This Row],[Debit]])</f>
        <v>-6928.0199999999977</v>
      </c>
    </row>
    <row r="363" spans="1:7" x14ac:dyDescent="0.45">
      <c r="A363">
        <f>MONTH(Budget[[#This Row],[Date]])</f>
        <v>1</v>
      </c>
      <c r="G363" s="2">
        <f>SUM(G362+Budget[[#This Row],[Income]]-Budget[[#This Row],[Debit]])</f>
        <v>-6928.0199999999977</v>
      </c>
    </row>
    <row r="364" spans="1:7" x14ac:dyDescent="0.45">
      <c r="A364">
        <f>MONTH(Budget[[#This Row],[Date]])</f>
        <v>1</v>
      </c>
      <c r="G364" s="2">
        <f>SUM(G363+Budget[[#This Row],[Income]]-Budget[[#This Row],[Debit]])</f>
        <v>-6928.0199999999977</v>
      </c>
    </row>
    <row r="365" spans="1:7" x14ac:dyDescent="0.45">
      <c r="A365">
        <f>MONTH(Budget[[#This Row],[Date]])</f>
        <v>1</v>
      </c>
      <c r="G365" s="2">
        <f>SUM(G364+Budget[[#This Row],[Income]]-Budget[[#This Row],[Debit]])</f>
        <v>-6928.0199999999977</v>
      </c>
    </row>
    <row r="366" spans="1:7" x14ac:dyDescent="0.45">
      <c r="A366">
        <f>MONTH(Budget[[#This Row],[Date]])</f>
        <v>1</v>
      </c>
      <c r="G366" s="2">
        <f>SUM(G365+Budget[[#This Row],[Income]]-Budget[[#This Row],[Debit]])</f>
        <v>-6928.0199999999977</v>
      </c>
    </row>
    <row r="367" spans="1:7" x14ac:dyDescent="0.45">
      <c r="A367">
        <f>MONTH(Budget[[#This Row],[Date]])</f>
        <v>1</v>
      </c>
      <c r="G367" s="2">
        <f>SUM(G366+Budget[[#This Row],[Income]]-Budget[[#This Row],[Debit]])</f>
        <v>-6928.0199999999977</v>
      </c>
    </row>
    <row r="368" spans="1:7" x14ac:dyDescent="0.45">
      <c r="A368">
        <f>MONTH(Budget[[#This Row],[Date]])</f>
        <v>1</v>
      </c>
      <c r="G368" s="2">
        <f>SUM(G367+Budget[[#This Row],[Income]]-Budget[[#This Row],[Debit]])</f>
        <v>-6928.0199999999977</v>
      </c>
    </row>
    <row r="369" spans="1:7" x14ac:dyDescent="0.45">
      <c r="A369">
        <f>MONTH(Budget[[#This Row],[Date]])</f>
        <v>1</v>
      </c>
      <c r="G369" s="2">
        <f>SUM(G368+Budget[[#This Row],[Income]]-Budget[[#This Row],[Debit]])</f>
        <v>-6928.0199999999977</v>
      </c>
    </row>
    <row r="370" spans="1:7" x14ac:dyDescent="0.45">
      <c r="A370">
        <f>MONTH(Budget[[#This Row],[Date]])</f>
        <v>1</v>
      </c>
      <c r="G370" s="2">
        <f>SUM(G369+Budget[[#This Row],[Income]]-Budget[[#This Row],[Debit]])</f>
        <v>-6928.0199999999977</v>
      </c>
    </row>
    <row r="371" spans="1:7" x14ac:dyDescent="0.45">
      <c r="A371">
        <f>MONTH(Budget[[#This Row],[Date]])</f>
        <v>1</v>
      </c>
      <c r="G371" s="2">
        <f>SUM(G370+Budget[[#This Row],[Income]]-Budget[[#This Row],[Debit]])</f>
        <v>-6928.0199999999977</v>
      </c>
    </row>
    <row r="372" spans="1:7" x14ac:dyDescent="0.45">
      <c r="A372">
        <f>MONTH(Budget[[#This Row],[Date]])</f>
        <v>1</v>
      </c>
      <c r="G372" s="2">
        <f>SUM(G371+Budget[[#This Row],[Income]]-Budget[[#This Row],[Debit]])</f>
        <v>-6928.0199999999977</v>
      </c>
    </row>
    <row r="373" spans="1:7" x14ac:dyDescent="0.45">
      <c r="A373">
        <f>MONTH(Budget[[#This Row],[Date]])</f>
        <v>1</v>
      </c>
      <c r="G373" s="2">
        <f>SUM(G372+Budget[[#This Row],[Income]]-Budget[[#This Row],[Debit]])</f>
        <v>-6928.0199999999977</v>
      </c>
    </row>
    <row r="374" spans="1:7" x14ac:dyDescent="0.45">
      <c r="A374">
        <f>MONTH(Budget[[#This Row],[Date]])</f>
        <v>1</v>
      </c>
      <c r="G374" s="2">
        <f>SUM(G373+Budget[[#This Row],[Income]]-Budget[[#This Row],[Debit]])</f>
        <v>-6928.0199999999977</v>
      </c>
    </row>
    <row r="375" spans="1:7" x14ac:dyDescent="0.45">
      <c r="A375">
        <f>MONTH(Budget[[#This Row],[Date]])</f>
        <v>1</v>
      </c>
      <c r="G375" s="2">
        <f>SUM(G374+Budget[[#This Row],[Income]]-Budget[[#This Row],[Debit]])</f>
        <v>-6928.0199999999977</v>
      </c>
    </row>
    <row r="376" spans="1:7" x14ac:dyDescent="0.45">
      <c r="A376">
        <f>MONTH(Budget[[#This Row],[Date]])</f>
        <v>1</v>
      </c>
      <c r="G376" s="2">
        <f>SUM(G375+Budget[[#This Row],[Income]]-Budget[[#This Row],[Debit]])</f>
        <v>-6928.0199999999977</v>
      </c>
    </row>
    <row r="377" spans="1:7" x14ac:dyDescent="0.45">
      <c r="A377">
        <f>MONTH(Budget[[#This Row],[Date]])</f>
        <v>1</v>
      </c>
      <c r="G377" s="2">
        <f>SUM(G376+Budget[[#This Row],[Income]]-Budget[[#This Row],[Debit]])</f>
        <v>-6928.0199999999977</v>
      </c>
    </row>
    <row r="378" spans="1:7" x14ac:dyDescent="0.45">
      <c r="A378">
        <f>MONTH(Budget[[#This Row],[Date]])</f>
        <v>1</v>
      </c>
      <c r="G378" s="2">
        <f>SUM(G377+Budget[[#This Row],[Income]]-Budget[[#This Row],[Debit]])</f>
        <v>-6928.0199999999977</v>
      </c>
    </row>
    <row r="379" spans="1:7" x14ac:dyDescent="0.45">
      <c r="A379">
        <f>MONTH(Budget[[#This Row],[Date]])</f>
        <v>1</v>
      </c>
      <c r="G379" s="2">
        <f>SUM(G378+Budget[[#This Row],[Income]]-Budget[[#This Row],[Debit]])</f>
        <v>-6928.0199999999977</v>
      </c>
    </row>
    <row r="380" spans="1:7" x14ac:dyDescent="0.45">
      <c r="A380">
        <f>MONTH(Budget[[#This Row],[Date]])</f>
        <v>1</v>
      </c>
      <c r="G380" s="2">
        <f>SUM(G379+Budget[[#This Row],[Income]]-Budget[[#This Row],[Debit]])</f>
        <v>-6928.0199999999977</v>
      </c>
    </row>
    <row r="381" spans="1:7" x14ac:dyDescent="0.45">
      <c r="A381">
        <f>MONTH(Budget[[#This Row],[Date]])</f>
        <v>1</v>
      </c>
      <c r="G381" s="2">
        <f>SUM(G380+Budget[[#This Row],[Income]]-Budget[[#This Row],[Debit]])</f>
        <v>-6928.0199999999977</v>
      </c>
    </row>
    <row r="382" spans="1:7" x14ac:dyDescent="0.45">
      <c r="A382">
        <f>MONTH(Budget[[#This Row],[Date]])</f>
        <v>1</v>
      </c>
      <c r="G382" s="2">
        <f>SUM(G381+Budget[[#This Row],[Income]]-Budget[[#This Row],[Debit]])</f>
        <v>-6928.0199999999977</v>
      </c>
    </row>
    <row r="383" spans="1:7" x14ac:dyDescent="0.45">
      <c r="A383">
        <f>MONTH(Budget[[#This Row],[Date]])</f>
        <v>1</v>
      </c>
      <c r="G383" s="2">
        <f>SUM(G382+Budget[[#This Row],[Income]]-Budget[[#This Row],[Debit]])</f>
        <v>-6928.0199999999977</v>
      </c>
    </row>
    <row r="384" spans="1:7" x14ac:dyDescent="0.45">
      <c r="A384">
        <f>MONTH(Budget[[#This Row],[Date]])</f>
        <v>1</v>
      </c>
      <c r="G384" s="2">
        <f>SUM(G383+Budget[[#This Row],[Income]]-Budget[[#This Row],[Debit]])</f>
        <v>-6928.0199999999977</v>
      </c>
    </row>
    <row r="385" spans="1:7" x14ac:dyDescent="0.45">
      <c r="A385">
        <f>MONTH(Budget[[#This Row],[Date]])</f>
        <v>1</v>
      </c>
      <c r="G385" s="2">
        <f>SUM(G384+Budget[[#This Row],[Income]]-Budget[[#This Row],[Debit]])</f>
        <v>-6928.0199999999977</v>
      </c>
    </row>
    <row r="386" spans="1:7" x14ac:dyDescent="0.45">
      <c r="A386">
        <f>MONTH(Budget[[#This Row],[Date]])</f>
        <v>1</v>
      </c>
      <c r="G386" s="2">
        <f>SUM(G385+Budget[[#This Row],[Income]]-Budget[[#This Row],[Debit]])</f>
        <v>-6928.0199999999977</v>
      </c>
    </row>
    <row r="387" spans="1:7" x14ac:dyDescent="0.45">
      <c r="A387">
        <f>MONTH(Budget[[#This Row],[Date]])</f>
        <v>1</v>
      </c>
      <c r="G387" s="2">
        <f>SUM(G386+Budget[[#This Row],[Income]]-Budget[[#This Row],[Debit]])</f>
        <v>-6928.0199999999977</v>
      </c>
    </row>
    <row r="388" spans="1:7" x14ac:dyDescent="0.45">
      <c r="A388">
        <f>MONTH(Budget[[#This Row],[Date]])</f>
        <v>1</v>
      </c>
      <c r="G388" s="2">
        <f>SUM(G387+Budget[[#This Row],[Income]]-Budget[[#This Row],[Debit]])</f>
        <v>-6928.0199999999977</v>
      </c>
    </row>
    <row r="389" spans="1:7" x14ac:dyDescent="0.45">
      <c r="A389">
        <f>MONTH(Budget[[#This Row],[Date]])</f>
        <v>1</v>
      </c>
      <c r="G389" s="2">
        <f>SUM(G388+Budget[[#This Row],[Income]]-Budget[[#This Row],[Debit]])</f>
        <v>-6928.0199999999977</v>
      </c>
    </row>
    <row r="390" spans="1:7" x14ac:dyDescent="0.45">
      <c r="A390">
        <f>MONTH(Budget[[#This Row],[Date]])</f>
        <v>1</v>
      </c>
      <c r="G390" s="2">
        <f>SUM(G389+Budget[[#This Row],[Income]]-Budget[[#This Row],[Debit]])</f>
        <v>-6928.0199999999977</v>
      </c>
    </row>
    <row r="391" spans="1:7" x14ac:dyDescent="0.45">
      <c r="A391">
        <f>MONTH(Budget[[#This Row],[Date]])</f>
        <v>1</v>
      </c>
      <c r="G391" s="2">
        <f>SUM(G390+Budget[[#This Row],[Income]]-Budget[[#This Row],[Debit]])</f>
        <v>-6928.0199999999977</v>
      </c>
    </row>
    <row r="392" spans="1:7" x14ac:dyDescent="0.45">
      <c r="A392">
        <f>MONTH(Budget[[#This Row],[Date]])</f>
        <v>1</v>
      </c>
      <c r="G392" s="2">
        <f>SUM(G391+Budget[[#This Row],[Income]]-Budget[[#This Row],[Debit]])</f>
        <v>-6928.0199999999977</v>
      </c>
    </row>
    <row r="393" spans="1:7" x14ac:dyDescent="0.45">
      <c r="A393">
        <f>MONTH(Budget[[#This Row],[Date]])</f>
        <v>1</v>
      </c>
      <c r="G393" s="2">
        <f>SUM(G392+Budget[[#This Row],[Income]]-Budget[[#This Row],[Debit]])</f>
        <v>-6928.0199999999977</v>
      </c>
    </row>
    <row r="394" spans="1:7" x14ac:dyDescent="0.45">
      <c r="A394">
        <f>MONTH(Budget[[#This Row],[Date]])</f>
        <v>1</v>
      </c>
      <c r="G394" s="2">
        <f>SUM(G393+Budget[[#This Row],[Income]]-Budget[[#This Row],[Debit]])</f>
        <v>-6928.0199999999977</v>
      </c>
    </row>
    <row r="395" spans="1:7" x14ac:dyDescent="0.45">
      <c r="A395">
        <f>MONTH(Budget[[#This Row],[Date]])</f>
        <v>1</v>
      </c>
      <c r="G395" s="2">
        <f>SUM(G394+Budget[[#This Row],[Income]]-Budget[[#This Row],[Debit]])</f>
        <v>-6928.0199999999977</v>
      </c>
    </row>
    <row r="396" spans="1:7" x14ac:dyDescent="0.45">
      <c r="A396">
        <f>MONTH(Budget[[#This Row],[Date]])</f>
        <v>1</v>
      </c>
      <c r="G396" s="2">
        <f>SUM(G395+Budget[[#This Row],[Income]]-Budget[[#This Row],[Debit]])</f>
        <v>-6928.0199999999977</v>
      </c>
    </row>
    <row r="397" spans="1:7" x14ac:dyDescent="0.45">
      <c r="A397">
        <f>MONTH(Budget[[#This Row],[Date]])</f>
        <v>1</v>
      </c>
      <c r="G397" s="2">
        <f>SUM(G396+Budget[[#This Row],[Income]]-Budget[[#This Row],[Debit]])</f>
        <v>-6928.0199999999977</v>
      </c>
    </row>
    <row r="398" spans="1:7" x14ac:dyDescent="0.45">
      <c r="A398">
        <f>MONTH(Budget[[#This Row],[Date]])</f>
        <v>1</v>
      </c>
      <c r="G398" s="2">
        <f>SUM(G397+Budget[[#This Row],[Income]]-Budget[[#This Row],[Debit]])</f>
        <v>-6928.0199999999977</v>
      </c>
    </row>
    <row r="399" spans="1:7" x14ac:dyDescent="0.45">
      <c r="A399">
        <f>MONTH(Budget[[#This Row],[Date]])</f>
        <v>1</v>
      </c>
      <c r="G399" s="2">
        <f>SUM(G398+Budget[[#This Row],[Income]]-Budget[[#This Row],[Debit]])</f>
        <v>-6928.0199999999977</v>
      </c>
    </row>
    <row r="400" spans="1:7" x14ac:dyDescent="0.45">
      <c r="A400">
        <f>MONTH(Budget[[#This Row],[Date]])</f>
        <v>1</v>
      </c>
      <c r="G400" s="2">
        <f>SUM(G399+Budget[[#This Row],[Income]]-Budget[[#This Row],[Debit]])</f>
        <v>-6928.0199999999977</v>
      </c>
    </row>
    <row r="401" spans="1:7" x14ac:dyDescent="0.45">
      <c r="A401">
        <f>MONTH(Budget[[#This Row],[Date]])</f>
        <v>1</v>
      </c>
      <c r="G401" s="2">
        <f>SUM(G400+Budget[[#This Row],[Income]]-Budget[[#This Row],[Debit]])</f>
        <v>-6928.0199999999977</v>
      </c>
    </row>
    <row r="402" spans="1:7" x14ac:dyDescent="0.45">
      <c r="A402">
        <f>MONTH(Budget[[#This Row],[Date]])</f>
        <v>1</v>
      </c>
      <c r="G402" s="2">
        <f>SUM(G401+Budget[[#This Row],[Income]]-Budget[[#This Row],[Debit]])</f>
        <v>-6928.0199999999977</v>
      </c>
    </row>
    <row r="403" spans="1:7" x14ac:dyDescent="0.45">
      <c r="A403">
        <f>MONTH(Budget[[#This Row],[Date]])</f>
        <v>1</v>
      </c>
      <c r="G403" s="2">
        <f>SUM(G402+Budget[[#This Row],[Income]]-Budget[[#This Row],[Debit]])</f>
        <v>-6928.0199999999977</v>
      </c>
    </row>
    <row r="404" spans="1:7" x14ac:dyDescent="0.45">
      <c r="A404">
        <f>MONTH(Budget[[#This Row],[Date]])</f>
        <v>1</v>
      </c>
      <c r="G404" s="2">
        <f>SUM(G403+Budget[[#This Row],[Income]]-Budget[[#This Row],[Debit]])</f>
        <v>-6928.0199999999977</v>
      </c>
    </row>
    <row r="405" spans="1:7" x14ac:dyDescent="0.45">
      <c r="A405">
        <f>MONTH(Budget[[#This Row],[Date]])</f>
        <v>1</v>
      </c>
      <c r="G405" s="2">
        <f>SUM(G404+Budget[[#This Row],[Income]]-Budget[[#This Row],[Debit]])</f>
        <v>-6928.0199999999977</v>
      </c>
    </row>
    <row r="406" spans="1:7" x14ac:dyDescent="0.45">
      <c r="A406">
        <f>MONTH(Budget[[#This Row],[Date]])</f>
        <v>1</v>
      </c>
      <c r="G406" s="2">
        <f>SUM(G405+Budget[[#This Row],[Income]]-Budget[[#This Row],[Debit]])</f>
        <v>-6928.0199999999977</v>
      </c>
    </row>
    <row r="407" spans="1:7" x14ac:dyDescent="0.45">
      <c r="A407">
        <f>MONTH(Budget[[#This Row],[Date]])</f>
        <v>1</v>
      </c>
      <c r="G407" s="2">
        <f>SUM(G406+Budget[[#This Row],[Income]]-Budget[[#This Row],[Debit]])</f>
        <v>-6928.0199999999977</v>
      </c>
    </row>
    <row r="408" spans="1:7" x14ac:dyDescent="0.45">
      <c r="A408">
        <f>MONTH(Budget[[#This Row],[Date]])</f>
        <v>1</v>
      </c>
      <c r="G408" s="2">
        <f>SUM(G407+Budget[[#This Row],[Income]]-Budget[[#This Row],[Debit]])</f>
        <v>-6928.0199999999977</v>
      </c>
    </row>
    <row r="409" spans="1:7" x14ac:dyDescent="0.45">
      <c r="A409">
        <f>MONTH(Budget[[#This Row],[Date]])</f>
        <v>1</v>
      </c>
      <c r="G409" s="2">
        <f>SUM(G408+Budget[[#This Row],[Income]]-Budget[[#This Row],[Debit]])</f>
        <v>-6928.0199999999977</v>
      </c>
    </row>
    <row r="410" spans="1:7" x14ac:dyDescent="0.45">
      <c r="A410">
        <f>MONTH(Budget[[#This Row],[Date]])</f>
        <v>1</v>
      </c>
      <c r="G410" s="2">
        <f>SUM(G409+Budget[[#This Row],[Income]]-Budget[[#This Row],[Debit]])</f>
        <v>-6928.0199999999977</v>
      </c>
    </row>
    <row r="411" spans="1:7" x14ac:dyDescent="0.45">
      <c r="A411">
        <f>MONTH(Budget[[#This Row],[Date]])</f>
        <v>1</v>
      </c>
      <c r="G411" s="2">
        <f>SUM(G410+Budget[[#This Row],[Income]]-Budget[[#This Row],[Debit]])</f>
        <v>-6928.0199999999977</v>
      </c>
    </row>
    <row r="412" spans="1:7" x14ac:dyDescent="0.45">
      <c r="A412">
        <f>MONTH(Budget[[#This Row],[Date]])</f>
        <v>1</v>
      </c>
      <c r="G412" s="2">
        <f>SUM(G411+Budget[[#This Row],[Income]]-Budget[[#This Row],[Debit]])</f>
        <v>-6928.0199999999977</v>
      </c>
    </row>
    <row r="413" spans="1:7" x14ac:dyDescent="0.45">
      <c r="A413">
        <f>MONTH(Budget[[#This Row],[Date]])</f>
        <v>1</v>
      </c>
      <c r="G413" s="2">
        <f>SUM(G412+Budget[[#This Row],[Income]]-Budget[[#This Row],[Debit]])</f>
        <v>-6928.0199999999977</v>
      </c>
    </row>
    <row r="414" spans="1:7" x14ac:dyDescent="0.45">
      <c r="A414">
        <f>MONTH(Budget[[#This Row],[Date]])</f>
        <v>1</v>
      </c>
      <c r="G414" s="2">
        <f>SUM(G413+Budget[[#This Row],[Income]]-Budget[[#This Row],[Debit]])</f>
        <v>-6928.0199999999977</v>
      </c>
    </row>
    <row r="415" spans="1:7" x14ac:dyDescent="0.45">
      <c r="A415">
        <f>MONTH(Budget[[#This Row],[Date]])</f>
        <v>1</v>
      </c>
      <c r="G415" s="2">
        <f>SUM(G414+Budget[[#This Row],[Income]]-Budget[[#This Row],[Debit]])</f>
        <v>-6928.0199999999977</v>
      </c>
    </row>
    <row r="416" spans="1:7" x14ac:dyDescent="0.45">
      <c r="A416">
        <f>MONTH(Budget[[#This Row],[Date]])</f>
        <v>1</v>
      </c>
      <c r="G416" s="2">
        <f>SUM(G415+Budget[[#This Row],[Income]]-Budget[[#This Row],[Debit]])</f>
        <v>-6928.0199999999977</v>
      </c>
    </row>
    <row r="417" spans="1:7" x14ac:dyDescent="0.45">
      <c r="A417">
        <f>MONTH(Budget[[#This Row],[Date]])</f>
        <v>1</v>
      </c>
      <c r="G417" s="2">
        <f>SUM(G416+Budget[[#This Row],[Income]]-Budget[[#This Row],[Debit]])</f>
        <v>-6928.0199999999977</v>
      </c>
    </row>
    <row r="418" spans="1:7" x14ac:dyDescent="0.45">
      <c r="A418">
        <f>MONTH(Budget[[#This Row],[Date]])</f>
        <v>1</v>
      </c>
      <c r="G418" s="2">
        <f>SUM(G417+Budget[[#This Row],[Income]]-Budget[[#This Row],[Debit]])</f>
        <v>-6928.0199999999977</v>
      </c>
    </row>
    <row r="419" spans="1:7" x14ac:dyDescent="0.45">
      <c r="A419">
        <f>MONTH(Budget[[#This Row],[Date]])</f>
        <v>1</v>
      </c>
      <c r="G419" s="2">
        <f>SUM(G418+Budget[[#This Row],[Income]]-Budget[[#This Row],[Debit]])</f>
        <v>-6928.0199999999977</v>
      </c>
    </row>
    <row r="420" spans="1:7" x14ac:dyDescent="0.45">
      <c r="A420">
        <f>MONTH(Budget[[#This Row],[Date]])</f>
        <v>1</v>
      </c>
      <c r="G420" s="2">
        <f>SUM(G419+Budget[[#This Row],[Income]]-Budget[[#This Row],[Debit]])</f>
        <v>-6928.0199999999977</v>
      </c>
    </row>
    <row r="421" spans="1:7" x14ac:dyDescent="0.45">
      <c r="A421">
        <f>MONTH(Budget[[#This Row],[Date]])</f>
        <v>1</v>
      </c>
      <c r="G421" s="2">
        <f>SUM(G420+Budget[[#This Row],[Income]]-Budget[[#This Row],[Debit]])</f>
        <v>-6928.0199999999977</v>
      </c>
    </row>
    <row r="422" spans="1:7" x14ac:dyDescent="0.45">
      <c r="A422">
        <f>MONTH(Budget[[#This Row],[Date]])</f>
        <v>1</v>
      </c>
      <c r="G422" s="2">
        <f>SUM(G421+Budget[[#This Row],[Income]]-Budget[[#This Row],[Debit]])</f>
        <v>-6928.0199999999977</v>
      </c>
    </row>
    <row r="423" spans="1:7" x14ac:dyDescent="0.45">
      <c r="A423">
        <f>MONTH(Budget[[#This Row],[Date]])</f>
        <v>1</v>
      </c>
      <c r="G423" s="2">
        <f>SUM(G422+Budget[[#This Row],[Income]]-Budget[[#This Row],[Debit]])</f>
        <v>-6928.0199999999977</v>
      </c>
    </row>
    <row r="424" spans="1:7" x14ac:dyDescent="0.45">
      <c r="A424">
        <f>MONTH(Budget[[#This Row],[Date]])</f>
        <v>1</v>
      </c>
      <c r="G424" s="2">
        <f>SUM(G423+Budget[[#This Row],[Income]]-Budget[[#This Row],[Debit]])</f>
        <v>-6928.0199999999977</v>
      </c>
    </row>
    <row r="425" spans="1:7" x14ac:dyDescent="0.45">
      <c r="A425">
        <f>MONTH(Budget[[#This Row],[Date]])</f>
        <v>1</v>
      </c>
      <c r="G425" s="2">
        <f>SUM(G424+Budget[[#This Row],[Income]]-Budget[[#This Row],[Debit]])</f>
        <v>-6928.0199999999977</v>
      </c>
    </row>
    <row r="426" spans="1:7" x14ac:dyDescent="0.45">
      <c r="A426">
        <f>MONTH(Budget[[#This Row],[Date]])</f>
        <v>1</v>
      </c>
      <c r="G426" s="2">
        <f>SUM(G425+Budget[[#This Row],[Income]]-Budget[[#This Row],[Debit]])</f>
        <v>-6928.0199999999977</v>
      </c>
    </row>
    <row r="427" spans="1:7" x14ac:dyDescent="0.45">
      <c r="A427">
        <f>MONTH(Budget[[#This Row],[Date]])</f>
        <v>1</v>
      </c>
      <c r="G427" s="2">
        <f>SUM(G426+Budget[[#This Row],[Income]]-Budget[[#This Row],[Debit]])</f>
        <v>-6928.0199999999977</v>
      </c>
    </row>
    <row r="428" spans="1:7" x14ac:dyDescent="0.45">
      <c r="A428">
        <f>MONTH(Budget[[#This Row],[Date]])</f>
        <v>1</v>
      </c>
      <c r="G428" s="2">
        <f>SUM(G427+Budget[[#This Row],[Income]]-Budget[[#This Row],[Debit]])</f>
        <v>-6928.0199999999977</v>
      </c>
    </row>
    <row r="429" spans="1:7" x14ac:dyDescent="0.45">
      <c r="A429">
        <f>MONTH(Budget[[#This Row],[Date]])</f>
        <v>1</v>
      </c>
      <c r="G429" s="2">
        <f>SUM(G428+Budget[[#This Row],[Income]]-Budget[[#This Row],[Debit]])</f>
        <v>-6928.0199999999977</v>
      </c>
    </row>
    <row r="430" spans="1:7" x14ac:dyDescent="0.45">
      <c r="A430">
        <f>MONTH(Budget[[#This Row],[Date]])</f>
        <v>1</v>
      </c>
      <c r="G430" s="2">
        <f>SUM(G429+Budget[[#This Row],[Income]]-Budget[[#This Row],[Debit]])</f>
        <v>-6928.0199999999977</v>
      </c>
    </row>
    <row r="431" spans="1:7" x14ac:dyDescent="0.45">
      <c r="A431">
        <f>MONTH(Budget[[#This Row],[Date]])</f>
        <v>1</v>
      </c>
      <c r="G431" s="2">
        <f>SUM(G430+Budget[[#This Row],[Income]]-Budget[[#This Row],[Debit]])</f>
        <v>-6928.0199999999977</v>
      </c>
    </row>
    <row r="432" spans="1:7" x14ac:dyDescent="0.45">
      <c r="A432">
        <f>MONTH(Budget[[#This Row],[Date]])</f>
        <v>1</v>
      </c>
      <c r="G432" s="2">
        <f>SUM(G431+Budget[[#This Row],[Income]]-Budget[[#This Row],[Debit]])</f>
        <v>-6928.0199999999977</v>
      </c>
    </row>
    <row r="433" spans="1:7" x14ac:dyDescent="0.45">
      <c r="A433">
        <f>MONTH(Budget[[#This Row],[Date]])</f>
        <v>1</v>
      </c>
      <c r="G433" s="2">
        <f>SUM(G432+Budget[[#This Row],[Income]]-Budget[[#This Row],[Debit]])</f>
        <v>-6928.0199999999977</v>
      </c>
    </row>
    <row r="434" spans="1:7" x14ac:dyDescent="0.45">
      <c r="A434">
        <f>MONTH(Budget[[#This Row],[Date]])</f>
        <v>1</v>
      </c>
      <c r="G434" s="2">
        <f>SUM(G433+Budget[[#This Row],[Income]]-Budget[[#This Row],[Debit]])</f>
        <v>-6928.0199999999977</v>
      </c>
    </row>
    <row r="435" spans="1:7" x14ac:dyDescent="0.45">
      <c r="A435">
        <f>MONTH(Budget[[#This Row],[Date]])</f>
        <v>1</v>
      </c>
      <c r="G435" s="2">
        <f>SUM(G434+Budget[[#This Row],[Income]]-Budget[[#This Row],[Debit]])</f>
        <v>-6928.0199999999977</v>
      </c>
    </row>
    <row r="436" spans="1:7" x14ac:dyDescent="0.45">
      <c r="A436">
        <f>MONTH(Budget[[#This Row],[Date]])</f>
        <v>1</v>
      </c>
      <c r="G436" s="2">
        <f>SUM(G435+Budget[[#This Row],[Income]]-Budget[[#This Row],[Debit]])</f>
        <v>-6928.0199999999977</v>
      </c>
    </row>
    <row r="437" spans="1:7" x14ac:dyDescent="0.45">
      <c r="A437">
        <f>MONTH(Budget[[#This Row],[Date]])</f>
        <v>1</v>
      </c>
      <c r="G437" s="2">
        <f>SUM(G436+Budget[[#This Row],[Income]]-Budget[[#This Row],[Debit]])</f>
        <v>-6928.0199999999977</v>
      </c>
    </row>
    <row r="438" spans="1:7" x14ac:dyDescent="0.45">
      <c r="A438">
        <f>MONTH(Budget[[#This Row],[Date]])</f>
        <v>1</v>
      </c>
      <c r="G438" s="2">
        <f>SUM(G437+Budget[[#This Row],[Income]]-Budget[[#This Row],[Debit]])</f>
        <v>-6928.0199999999977</v>
      </c>
    </row>
    <row r="439" spans="1:7" x14ac:dyDescent="0.45">
      <c r="A439">
        <f>MONTH(Budget[[#This Row],[Date]])</f>
        <v>1</v>
      </c>
      <c r="G439" s="2">
        <f>SUM(G438+Budget[[#This Row],[Income]]-Budget[[#This Row],[Debit]])</f>
        <v>-6928.0199999999977</v>
      </c>
    </row>
    <row r="440" spans="1:7" x14ac:dyDescent="0.45">
      <c r="A440">
        <f>MONTH(Budget[[#This Row],[Date]])</f>
        <v>1</v>
      </c>
      <c r="G440" s="2">
        <f>SUM(G439+Budget[[#This Row],[Income]]-Budget[[#This Row],[Debit]])</f>
        <v>-6928.0199999999977</v>
      </c>
    </row>
    <row r="441" spans="1:7" x14ac:dyDescent="0.45">
      <c r="A441">
        <f>MONTH(Budget[[#This Row],[Date]])</f>
        <v>1</v>
      </c>
      <c r="G441" s="2">
        <f>SUM(G440+Budget[[#This Row],[Income]]-Budget[[#This Row],[Debit]])</f>
        <v>-6928.0199999999977</v>
      </c>
    </row>
    <row r="442" spans="1:7" x14ac:dyDescent="0.45">
      <c r="A442">
        <f>MONTH(Budget[[#This Row],[Date]])</f>
        <v>1</v>
      </c>
      <c r="G442" s="2">
        <f>SUM(G441+Budget[[#This Row],[Income]]-Budget[[#This Row],[Debit]])</f>
        <v>-6928.0199999999977</v>
      </c>
    </row>
    <row r="443" spans="1:7" x14ac:dyDescent="0.45">
      <c r="A443">
        <f>MONTH(Budget[[#This Row],[Date]])</f>
        <v>1</v>
      </c>
      <c r="G443" s="2">
        <f>SUM(G442+Budget[[#This Row],[Income]]-Budget[[#This Row],[Debit]])</f>
        <v>-6928.0199999999977</v>
      </c>
    </row>
    <row r="444" spans="1:7" x14ac:dyDescent="0.45">
      <c r="A444">
        <f>MONTH(Budget[[#This Row],[Date]])</f>
        <v>1</v>
      </c>
      <c r="G444" s="2">
        <f>SUM(G443+Budget[[#This Row],[Income]]-Budget[[#This Row],[Debit]])</f>
        <v>-6928.0199999999977</v>
      </c>
    </row>
    <row r="445" spans="1:7" x14ac:dyDescent="0.45">
      <c r="A445">
        <f>MONTH(Budget[[#This Row],[Date]])</f>
        <v>1</v>
      </c>
      <c r="G445" s="2">
        <f>SUM(G444+Budget[[#This Row],[Income]]-Budget[[#This Row],[Debit]])</f>
        <v>-6928.0199999999977</v>
      </c>
    </row>
    <row r="446" spans="1:7" x14ac:dyDescent="0.45">
      <c r="A446">
        <f>MONTH(Budget[[#This Row],[Date]])</f>
        <v>1</v>
      </c>
      <c r="G446" s="2">
        <f>SUM(G445+Budget[[#This Row],[Income]]-Budget[[#This Row],[Debit]])</f>
        <v>-6928.0199999999977</v>
      </c>
    </row>
    <row r="447" spans="1:7" x14ac:dyDescent="0.45">
      <c r="A447">
        <f>MONTH(Budget[[#This Row],[Date]])</f>
        <v>1</v>
      </c>
      <c r="G447" s="2">
        <f>SUM(G446+Budget[[#This Row],[Income]]-Budget[[#This Row],[Debit]])</f>
        <v>-6928.0199999999977</v>
      </c>
    </row>
    <row r="448" spans="1:7" x14ac:dyDescent="0.45">
      <c r="A448">
        <f>MONTH(Budget[[#This Row],[Date]])</f>
        <v>1</v>
      </c>
      <c r="G448" s="2">
        <f>SUM(G447+Budget[[#This Row],[Income]]-Budget[[#This Row],[Debit]])</f>
        <v>-6928.0199999999977</v>
      </c>
    </row>
    <row r="449" spans="1:7" x14ac:dyDescent="0.45">
      <c r="A449">
        <f>MONTH(Budget[[#This Row],[Date]])</f>
        <v>1</v>
      </c>
      <c r="G449" s="2">
        <f>SUM(G448+Budget[[#This Row],[Income]]-Budget[[#This Row],[Debit]])</f>
        <v>-6928.0199999999977</v>
      </c>
    </row>
    <row r="450" spans="1:7" x14ac:dyDescent="0.45">
      <c r="A450">
        <f>MONTH(Budget[[#This Row],[Date]])</f>
        <v>1</v>
      </c>
      <c r="G450" s="2">
        <f>SUM(G449+Budget[[#This Row],[Income]]-Budget[[#This Row],[Debit]])</f>
        <v>-6928.0199999999977</v>
      </c>
    </row>
    <row r="451" spans="1:7" x14ac:dyDescent="0.45">
      <c r="A451">
        <f>MONTH(Budget[[#This Row],[Date]])</f>
        <v>1</v>
      </c>
      <c r="G451" s="2">
        <f>SUM(G450+Budget[[#This Row],[Income]]-Budget[[#This Row],[Debit]])</f>
        <v>-6928.0199999999977</v>
      </c>
    </row>
    <row r="452" spans="1:7" x14ac:dyDescent="0.45">
      <c r="A452">
        <f>MONTH(Budget[[#This Row],[Date]])</f>
        <v>1</v>
      </c>
      <c r="G452" s="2">
        <f>SUM(G451+Budget[[#This Row],[Income]]-Budget[[#This Row],[Debit]])</f>
        <v>-6928.0199999999977</v>
      </c>
    </row>
    <row r="453" spans="1:7" x14ac:dyDescent="0.45">
      <c r="A453">
        <f>MONTH(Budget[[#This Row],[Date]])</f>
        <v>1</v>
      </c>
      <c r="G453" s="2">
        <f>SUM(G452+Budget[[#This Row],[Income]]-Budget[[#This Row],[Debit]])</f>
        <v>-6928.0199999999977</v>
      </c>
    </row>
    <row r="454" spans="1:7" x14ac:dyDescent="0.45">
      <c r="A454">
        <f>MONTH(Budget[[#This Row],[Date]])</f>
        <v>1</v>
      </c>
      <c r="G454" s="2">
        <f>SUM(G453+Budget[[#This Row],[Income]]-Budget[[#This Row],[Debit]])</f>
        <v>-6928.0199999999977</v>
      </c>
    </row>
    <row r="455" spans="1:7" x14ac:dyDescent="0.45">
      <c r="A455">
        <f>MONTH(Budget[[#This Row],[Date]])</f>
        <v>1</v>
      </c>
      <c r="G455" s="2">
        <f>SUM(G454+Budget[[#This Row],[Income]]-Budget[[#This Row],[Debit]])</f>
        <v>-6928.0199999999977</v>
      </c>
    </row>
    <row r="456" spans="1:7" x14ac:dyDescent="0.45">
      <c r="A456">
        <f>MONTH(Budget[[#This Row],[Date]])</f>
        <v>1</v>
      </c>
      <c r="G456" s="2">
        <f>SUM(G455+Budget[[#This Row],[Income]]-Budget[[#This Row],[Debit]])</f>
        <v>-6928.0199999999977</v>
      </c>
    </row>
    <row r="457" spans="1:7" x14ac:dyDescent="0.45">
      <c r="A457">
        <f>MONTH(Budget[[#This Row],[Date]])</f>
        <v>1</v>
      </c>
      <c r="G457" s="2">
        <f>SUM(G456+Budget[[#This Row],[Income]]-Budget[[#This Row],[Debit]])</f>
        <v>-6928.0199999999977</v>
      </c>
    </row>
    <row r="458" spans="1:7" x14ac:dyDescent="0.45">
      <c r="A458">
        <f>MONTH(Budget[[#This Row],[Date]])</f>
        <v>1</v>
      </c>
      <c r="G458" s="2">
        <f>SUM(G457+Budget[[#This Row],[Income]]-Budget[[#This Row],[Debit]])</f>
        <v>-6928.0199999999977</v>
      </c>
    </row>
    <row r="459" spans="1:7" x14ac:dyDescent="0.45">
      <c r="A459">
        <f>MONTH(Budget[[#This Row],[Date]])</f>
        <v>1</v>
      </c>
      <c r="G459" s="2">
        <f>SUM(G458+Budget[[#This Row],[Income]]-Budget[[#This Row],[Debit]])</f>
        <v>-6928.0199999999977</v>
      </c>
    </row>
    <row r="460" spans="1:7" x14ac:dyDescent="0.45">
      <c r="A460">
        <f>MONTH(Budget[[#This Row],[Date]])</f>
        <v>1</v>
      </c>
      <c r="G460" s="2">
        <f>SUM(G459+Budget[[#This Row],[Income]]-Budget[[#This Row],[Debit]])</f>
        <v>-6928.0199999999977</v>
      </c>
    </row>
    <row r="461" spans="1:7" x14ac:dyDescent="0.45">
      <c r="A461">
        <f>MONTH(Budget[[#This Row],[Date]])</f>
        <v>1</v>
      </c>
      <c r="G461" s="2">
        <f>SUM(G460+Budget[[#This Row],[Income]]-Budget[[#This Row],[Debit]])</f>
        <v>-6928.0199999999977</v>
      </c>
    </row>
    <row r="462" spans="1:7" x14ac:dyDescent="0.45">
      <c r="A462">
        <f>MONTH(Budget[[#This Row],[Date]])</f>
        <v>1</v>
      </c>
      <c r="G462" s="2">
        <f>SUM(G461+Budget[[#This Row],[Income]]-Budget[[#This Row],[Debit]])</f>
        <v>-6928.0199999999977</v>
      </c>
    </row>
    <row r="463" spans="1:7" x14ac:dyDescent="0.45">
      <c r="A463">
        <f>MONTH(Budget[[#This Row],[Date]])</f>
        <v>1</v>
      </c>
      <c r="G463" s="2">
        <f>SUM(G462+Budget[[#This Row],[Income]]-Budget[[#This Row],[Debit]])</f>
        <v>-6928.0199999999977</v>
      </c>
    </row>
    <row r="464" spans="1:7" x14ac:dyDescent="0.45">
      <c r="A464">
        <f>MONTH(Budget[[#This Row],[Date]])</f>
        <v>1</v>
      </c>
      <c r="G464" s="2">
        <f>SUM(G463+Budget[[#This Row],[Income]]-Budget[[#This Row],[Debit]])</f>
        <v>-6928.0199999999977</v>
      </c>
    </row>
    <row r="465" spans="1:7" x14ac:dyDescent="0.45">
      <c r="A465">
        <f>MONTH(Budget[[#This Row],[Date]])</f>
        <v>1</v>
      </c>
      <c r="G465" s="2">
        <f>SUM(G464+Budget[[#This Row],[Income]]-Budget[[#This Row],[Debit]])</f>
        <v>-6928.0199999999977</v>
      </c>
    </row>
    <row r="466" spans="1:7" x14ac:dyDescent="0.45">
      <c r="A466">
        <f>MONTH(Budget[[#This Row],[Date]])</f>
        <v>1</v>
      </c>
      <c r="G466" s="2">
        <f>SUM(G465+Budget[[#This Row],[Income]]-Budget[[#This Row],[Debit]])</f>
        <v>-6928.0199999999977</v>
      </c>
    </row>
    <row r="467" spans="1:7" x14ac:dyDescent="0.45">
      <c r="A467">
        <f>MONTH(Budget[[#This Row],[Date]])</f>
        <v>1</v>
      </c>
      <c r="G467" s="2">
        <f>SUM(G466+Budget[[#This Row],[Income]]-Budget[[#This Row],[Debit]])</f>
        <v>-6928.0199999999977</v>
      </c>
    </row>
    <row r="468" spans="1:7" x14ac:dyDescent="0.45">
      <c r="A468">
        <f>MONTH(Budget[[#This Row],[Date]])</f>
        <v>1</v>
      </c>
      <c r="G468" s="2">
        <f>SUM(G467+Budget[[#This Row],[Income]]-Budget[[#This Row],[Debit]])</f>
        <v>-6928.0199999999977</v>
      </c>
    </row>
    <row r="469" spans="1:7" x14ac:dyDescent="0.45">
      <c r="A469">
        <f>MONTH(Budget[[#This Row],[Date]])</f>
        <v>1</v>
      </c>
      <c r="G469" s="2">
        <f>SUM(G468+Budget[[#This Row],[Income]]-Budget[[#This Row],[Debit]])</f>
        <v>-6928.0199999999977</v>
      </c>
    </row>
    <row r="470" spans="1:7" x14ac:dyDescent="0.45">
      <c r="A470">
        <f>MONTH(Budget[[#This Row],[Date]])</f>
        <v>1</v>
      </c>
      <c r="G470" s="2">
        <f>SUM(G469+Budget[[#This Row],[Income]]-Budget[[#This Row],[Debit]])</f>
        <v>-6928.0199999999977</v>
      </c>
    </row>
    <row r="471" spans="1:7" x14ac:dyDescent="0.45">
      <c r="A471">
        <f>MONTH(Budget[[#This Row],[Date]])</f>
        <v>1</v>
      </c>
      <c r="G471" s="2">
        <f>SUM(G470+Budget[[#This Row],[Income]]-Budget[[#This Row],[Debit]])</f>
        <v>-6928.0199999999977</v>
      </c>
    </row>
    <row r="472" spans="1:7" x14ac:dyDescent="0.45">
      <c r="A472">
        <f>MONTH(Budget[[#This Row],[Date]])</f>
        <v>1</v>
      </c>
      <c r="G472" s="2">
        <f>SUM(G471+Budget[[#This Row],[Income]]-Budget[[#This Row],[Debit]])</f>
        <v>-6928.0199999999977</v>
      </c>
    </row>
    <row r="473" spans="1:7" x14ac:dyDescent="0.45">
      <c r="A473">
        <f>MONTH(Budget[[#This Row],[Date]])</f>
        <v>1</v>
      </c>
      <c r="G473" s="2">
        <f>SUM(G472+Budget[[#This Row],[Income]]-Budget[[#This Row],[Debit]])</f>
        <v>-6928.0199999999977</v>
      </c>
    </row>
    <row r="474" spans="1:7" x14ac:dyDescent="0.45">
      <c r="A474">
        <f>MONTH(Budget[[#This Row],[Date]])</f>
        <v>1</v>
      </c>
      <c r="G474" s="2">
        <f>SUM(G473+Budget[[#This Row],[Income]]-Budget[[#This Row],[Debit]])</f>
        <v>-6928.0199999999977</v>
      </c>
    </row>
    <row r="475" spans="1:7" x14ac:dyDescent="0.45">
      <c r="A475">
        <f>MONTH(Budget[[#This Row],[Date]])</f>
        <v>1</v>
      </c>
      <c r="G475" s="2">
        <f>SUM(G474+Budget[[#This Row],[Income]]-Budget[[#This Row],[Debit]])</f>
        <v>-6928.0199999999977</v>
      </c>
    </row>
    <row r="476" spans="1:7" x14ac:dyDescent="0.45">
      <c r="A476">
        <f>MONTH(Budget[[#This Row],[Date]])</f>
        <v>1</v>
      </c>
      <c r="G476" s="2">
        <f>SUM(G475+Budget[[#This Row],[Income]]-Budget[[#This Row],[Debit]])</f>
        <v>-6928.0199999999977</v>
      </c>
    </row>
    <row r="477" spans="1:7" x14ac:dyDescent="0.45">
      <c r="A477">
        <f>MONTH(Budget[[#This Row],[Date]])</f>
        <v>1</v>
      </c>
      <c r="G477" s="2">
        <f>SUM(G476+Budget[[#This Row],[Income]]-Budget[[#This Row],[Debit]])</f>
        <v>-6928.0199999999977</v>
      </c>
    </row>
    <row r="478" spans="1:7" x14ac:dyDescent="0.45">
      <c r="A478">
        <f>MONTH(Budget[[#This Row],[Date]])</f>
        <v>1</v>
      </c>
      <c r="G478" s="2">
        <f>SUM(G477+Budget[[#This Row],[Income]]-Budget[[#This Row],[Debit]])</f>
        <v>-6928.0199999999977</v>
      </c>
    </row>
    <row r="479" spans="1:7" x14ac:dyDescent="0.45">
      <c r="A479">
        <f>MONTH(Budget[[#This Row],[Date]])</f>
        <v>1</v>
      </c>
      <c r="G479" s="2">
        <f>SUM(G478+Budget[[#This Row],[Income]]-Budget[[#This Row],[Debit]])</f>
        <v>-6928.0199999999977</v>
      </c>
    </row>
    <row r="480" spans="1:7" x14ac:dyDescent="0.45">
      <c r="A480">
        <f>MONTH(Budget[[#This Row],[Date]])</f>
        <v>1</v>
      </c>
      <c r="G480" s="2">
        <f>SUM(G479+Budget[[#This Row],[Income]]-Budget[[#This Row],[Debit]])</f>
        <v>-6928.0199999999977</v>
      </c>
    </row>
    <row r="481" spans="1:7" x14ac:dyDescent="0.45">
      <c r="A481">
        <f>MONTH(Budget[[#This Row],[Date]])</f>
        <v>1</v>
      </c>
      <c r="G481" s="2">
        <f>SUM(G480+Budget[[#This Row],[Income]]-Budget[[#This Row],[Debit]])</f>
        <v>-6928.0199999999977</v>
      </c>
    </row>
    <row r="482" spans="1:7" x14ac:dyDescent="0.45">
      <c r="A482">
        <f>MONTH(Budget[[#This Row],[Date]])</f>
        <v>1</v>
      </c>
      <c r="G482" s="2">
        <f>SUM(G481+Budget[[#This Row],[Income]]-Budget[[#This Row],[Debit]])</f>
        <v>-6928.0199999999977</v>
      </c>
    </row>
    <row r="483" spans="1:7" x14ac:dyDescent="0.45">
      <c r="A483">
        <f>MONTH(Budget[[#This Row],[Date]])</f>
        <v>1</v>
      </c>
      <c r="G483" s="2">
        <f>SUM(G482+Budget[[#This Row],[Income]]-Budget[[#This Row],[Debit]])</f>
        <v>-6928.0199999999977</v>
      </c>
    </row>
    <row r="484" spans="1:7" x14ac:dyDescent="0.45">
      <c r="A484">
        <f>MONTH(Budget[[#This Row],[Date]])</f>
        <v>1</v>
      </c>
      <c r="G484" s="2">
        <f>SUM(G483+Budget[[#This Row],[Income]]-Budget[[#This Row],[Debit]])</f>
        <v>-6928.0199999999977</v>
      </c>
    </row>
    <row r="485" spans="1:7" x14ac:dyDescent="0.45">
      <c r="A485">
        <f>MONTH(Budget[[#This Row],[Date]])</f>
        <v>1</v>
      </c>
      <c r="G485" s="2">
        <f>SUM(G484+Budget[[#This Row],[Income]]-Budget[[#This Row],[Debit]])</f>
        <v>-6928.0199999999977</v>
      </c>
    </row>
    <row r="486" spans="1:7" x14ac:dyDescent="0.45">
      <c r="A486">
        <f>MONTH(Budget[[#This Row],[Date]])</f>
        <v>1</v>
      </c>
      <c r="G486" s="2">
        <f>SUM(G485+Budget[[#This Row],[Income]]-Budget[[#This Row],[Debit]])</f>
        <v>-6928.0199999999977</v>
      </c>
    </row>
    <row r="487" spans="1:7" x14ac:dyDescent="0.45">
      <c r="A487">
        <f>MONTH(Budget[[#This Row],[Date]])</f>
        <v>1</v>
      </c>
      <c r="G487" s="2">
        <f>SUM(G486+Budget[[#This Row],[Income]]-Budget[[#This Row],[Debit]])</f>
        <v>-6928.0199999999977</v>
      </c>
    </row>
    <row r="488" spans="1:7" x14ac:dyDescent="0.45">
      <c r="A488">
        <f>MONTH(Budget[[#This Row],[Date]])</f>
        <v>1</v>
      </c>
      <c r="G488" s="2">
        <f>SUM(G487+Budget[[#This Row],[Income]]-Budget[[#This Row],[Debit]])</f>
        <v>-6928.0199999999977</v>
      </c>
    </row>
    <row r="489" spans="1:7" x14ac:dyDescent="0.45">
      <c r="A489">
        <f>MONTH(Budget[[#This Row],[Date]])</f>
        <v>1</v>
      </c>
      <c r="G489" s="2">
        <f>SUM(G488+Budget[[#This Row],[Income]]-Budget[[#This Row],[Debit]])</f>
        <v>-6928.0199999999977</v>
      </c>
    </row>
    <row r="490" spans="1:7" x14ac:dyDescent="0.45">
      <c r="A490">
        <f>MONTH(Budget[[#This Row],[Date]])</f>
        <v>1</v>
      </c>
      <c r="G490" s="2">
        <f>SUM(G489+Budget[[#This Row],[Income]]-Budget[[#This Row],[Debit]])</f>
        <v>-6928.0199999999977</v>
      </c>
    </row>
    <row r="491" spans="1:7" x14ac:dyDescent="0.45">
      <c r="A491">
        <f>MONTH(Budget[[#This Row],[Date]])</f>
        <v>1</v>
      </c>
      <c r="G491" s="2">
        <f>SUM(G490+Budget[[#This Row],[Income]]-Budget[[#This Row],[Debit]])</f>
        <v>-6928.0199999999977</v>
      </c>
    </row>
    <row r="492" spans="1:7" x14ac:dyDescent="0.45">
      <c r="A492">
        <f>MONTH(Budget[[#This Row],[Date]])</f>
        <v>1</v>
      </c>
      <c r="G492" s="2">
        <f>SUM(G491+Budget[[#This Row],[Income]]-Budget[[#This Row],[Debit]])</f>
        <v>-6928.0199999999977</v>
      </c>
    </row>
    <row r="493" spans="1:7" x14ac:dyDescent="0.45">
      <c r="A493">
        <f>MONTH(Budget[[#This Row],[Date]])</f>
        <v>1</v>
      </c>
      <c r="G493" s="2">
        <f>SUM(G492+Budget[[#This Row],[Income]]-Budget[[#This Row],[Debit]])</f>
        <v>-6928.0199999999977</v>
      </c>
    </row>
    <row r="494" spans="1:7" x14ac:dyDescent="0.45">
      <c r="A494">
        <f>MONTH(Budget[[#This Row],[Date]])</f>
        <v>1</v>
      </c>
      <c r="G494" s="2">
        <f>SUM(G493+Budget[[#This Row],[Income]]-Budget[[#This Row],[Debit]])</f>
        <v>-6928.0199999999977</v>
      </c>
    </row>
    <row r="495" spans="1:7" x14ac:dyDescent="0.45">
      <c r="A495">
        <f>MONTH(Budget[[#This Row],[Date]])</f>
        <v>1</v>
      </c>
      <c r="G495" s="2">
        <f>SUM(G494+Budget[[#This Row],[Income]]-Budget[[#This Row],[Debit]])</f>
        <v>-6928.0199999999977</v>
      </c>
    </row>
    <row r="496" spans="1:7" x14ac:dyDescent="0.45">
      <c r="A496">
        <f>MONTH(Budget[[#This Row],[Date]])</f>
        <v>1</v>
      </c>
      <c r="G496" s="2">
        <f>SUM(G495+Budget[[#This Row],[Income]]-Budget[[#This Row],[Debit]])</f>
        <v>-6928.0199999999977</v>
      </c>
    </row>
    <row r="497" spans="1:7" x14ac:dyDescent="0.45">
      <c r="A497">
        <f>MONTH(Budget[[#This Row],[Date]])</f>
        <v>1</v>
      </c>
      <c r="G497" s="2">
        <f>SUM(G496+Budget[[#This Row],[Income]]-Budget[[#This Row],[Debit]])</f>
        <v>-6928.0199999999977</v>
      </c>
    </row>
    <row r="498" spans="1:7" x14ac:dyDescent="0.45">
      <c r="A498">
        <f>MONTH(Budget[[#This Row],[Date]])</f>
        <v>1</v>
      </c>
      <c r="G498" s="2">
        <f>SUM(G497+Budget[[#This Row],[Income]]-Budget[[#This Row],[Debit]])</f>
        <v>-6928.0199999999977</v>
      </c>
    </row>
    <row r="499" spans="1:7" x14ac:dyDescent="0.45">
      <c r="A499">
        <f>MONTH(Budget[[#This Row],[Date]])</f>
        <v>1</v>
      </c>
      <c r="G499" s="2">
        <f>SUM(G498+Budget[[#This Row],[Income]]-Budget[[#This Row],[Debit]])</f>
        <v>-6928.0199999999977</v>
      </c>
    </row>
    <row r="500" spans="1:7" x14ac:dyDescent="0.45">
      <c r="A500">
        <f>MONTH(Budget[[#This Row],[Date]])</f>
        <v>1</v>
      </c>
      <c r="G500" s="2">
        <f>SUM(G499+Budget[[#This Row],[Income]]-Budget[[#This Row],[Debit]])</f>
        <v>-6928.0199999999977</v>
      </c>
    </row>
    <row r="501" spans="1:7" x14ac:dyDescent="0.45">
      <c r="A501">
        <f>MONTH(Budget[[#This Row],[Date]])</f>
        <v>1</v>
      </c>
      <c r="G501" s="2">
        <f>SUM(G500+Budget[[#This Row],[Income]]-Budget[[#This Row],[Debit]])</f>
        <v>-6928.0199999999977</v>
      </c>
    </row>
    <row r="502" spans="1:7" x14ac:dyDescent="0.45">
      <c r="A502">
        <f>MONTH(Budget[[#This Row],[Date]])</f>
        <v>1</v>
      </c>
      <c r="G502" s="2">
        <f>SUM(G501+Budget[[#This Row],[Income]]-Budget[[#This Row],[Debit]])</f>
        <v>-6928.0199999999977</v>
      </c>
    </row>
    <row r="503" spans="1:7" x14ac:dyDescent="0.45">
      <c r="A503">
        <f>MONTH(Budget[[#This Row],[Date]])</f>
        <v>1</v>
      </c>
      <c r="G503" s="2">
        <f>SUM(G502+Budget[[#This Row],[Income]]-Budget[[#This Row],[Debit]])</f>
        <v>-6928.0199999999977</v>
      </c>
    </row>
    <row r="504" spans="1:7" x14ac:dyDescent="0.45">
      <c r="A504">
        <f>MONTH(Budget[[#This Row],[Date]])</f>
        <v>1</v>
      </c>
      <c r="G504" s="2">
        <f>SUM(G503+Budget[[#This Row],[Income]]-Budget[[#This Row],[Debit]])</f>
        <v>-6928.0199999999977</v>
      </c>
    </row>
    <row r="505" spans="1:7" x14ac:dyDescent="0.45">
      <c r="A505">
        <f>MONTH(Budget[[#This Row],[Date]])</f>
        <v>1</v>
      </c>
      <c r="G505" s="2">
        <f>SUM(G504+Budget[[#This Row],[Income]]-Budget[[#This Row],[Debit]])</f>
        <v>-6928.0199999999977</v>
      </c>
    </row>
    <row r="506" spans="1:7" x14ac:dyDescent="0.45">
      <c r="A506">
        <f>MONTH(Budget[[#This Row],[Date]])</f>
        <v>1</v>
      </c>
      <c r="G506" s="2">
        <f>SUM(G505+Budget[[#This Row],[Income]]-Budget[[#This Row],[Debit]])</f>
        <v>-6928.0199999999977</v>
      </c>
    </row>
    <row r="507" spans="1:7" x14ac:dyDescent="0.45">
      <c r="A507">
        <f>MONTH(Budget[[#This Row],[Date]])</f>
        <v>1</v>
      </c>
      <c r="G507" s="2">
        <f>SUM(G506+Budget[[#This Row],[Income]]-Budget[[#This Row],[Debit]])</f>
        <v>-6928.0199999999977</v>
      </c>
    </row>
    <row r="508" spans="1:7" x14ac:dyDescent="0.45">
      <c r="A508">
        <f>MONTH(Budget[[#This Row],[Date]])</f>
        <v>1</v>
      </c>
      <c r="G508" s="2">
        <f>SUM(G507+Budget[[#This Row],[Income]]-Budget[[#This Row],[Debit]])</f>
        <v>-6928.0199999999977</v>
      </c>
    </row>
    <row r="509" spans="1:7" x14ac:dyDescent="0.45">
      <c r="A509">
        <f>MONTH(Budget[[#This Row],[Date]])</f>
        <v>1</v>
      </c>
      <c r="G509" s="2">
        <f>SUM(G508+Budget[[#This Row],[Income]]-Budget[[#This Row],[Debit]])</f>
        <v>-6928.0199999999977</v>
      </c>
    </row>
    <row r="510" spans="1:7" x14ac:dyDescent="0.45">
      <c r="A510">
        <f>MONTH(Budget[[#This Row],[Date]])</f>
        <v>1</v>
      </c>
      <c r="G510" s="2">
        <f>SUM(G509+Budget[[#This Row],[Income]]-Budget[[#This Row],[Debit]])</f>
        <v>-6928.0199999999977</v>
      </c>
    </row>
    <row r="511" spans="1:7" x14ac:dyDescent="0.45">
      <c r="A511">
        <f>MONTH(Budget[[#This Row],[Date]])</f>
        <v>1</v>
      </c>
      <c r="G511" s="2">
        <f>SUM(G510+Budget[[#This Row],[Income]]-Budget[[#This Row],[Debit]])</f>
        <v>-6928.0199999999977</v>
      </c>
    </row>
    <row r="512" spans="1:7" x14ac:dyDescent="0.45">
      <c r="A512">
        <f>MONTH(Budget[[#This Row],[Date]])</f>
        <v>1</v>
      </c>
      <c r="G512" s="2">
        <f>SUM(G511+Budget[[#This Row],[Income]]-Budget[[#This Row],[Debit]])</f>
        <v>-6928.0199999999977</v>
      </c>
    </row>
    <row r="513" spans="1:7" x14ac:dyDescent="0.45">
      <c r="A513">
        <f>MONTH(Budget[[#This Row],[Date]])</f>
        <v>1</v>
      </c>
      <c r="G513" s="2">
        <f>SUM(G512+Budget[[#This Row],[Income]]-Budget[[#This Row],[Debit]])</f>
        <v>-6928.0199999999977</v>
      </c>
    </row>
    <row r="514" spans="1:7" x14ac:dyDescent="0.45">
      <c r="A514">
        <f>MONTH(Budget[[#This Row],[Date]])</f>
        <v>1</v>
      </c>
      <c r="G514" s="2">
        <f>SUM(G513+Budget[[#This Row],[Income]]-Budget[[#This Row],[Debit]])</f>
        <v>-6928.0199999999977</v>
      </c>
    </row>
    <row r="515" spans="1:7" x14ac:dyDescent="0.45">
      <c r="A515">
        <f>MONTH(Budget[[#This Row],[Date]])</f>
        <v>1</v>
      </c>
      <c r="G515" s="2">
        <f>SUM(G514+Budget[[#This Row],[Income]]-Budget[[#This Row],[Debit]])</f>
        <v>-6928.0199999999977</v>
      </c>
    </row>
    <row r="516" spans="1:7" x14ac:dyDescent="0.45">
      <c r="A516">
        <f>MONTH(Budget[[#This Row],[Date]])</f>
        <v>1</v>
      </c>
      <c r="G516" s="2">
        <f>SUM(G515+Budget[[#This Row],[Income]]-Budget[[#This Row],[Debit]])</f>
        <v>-6928.0199999999977</v>
      </c>
    </row>
    <row r="517" spans="1:7" x14ac:dyDescent="0.45">
      <c r="A517">
        <f>MONTH(Budget[[#This Row],[Date]])</f>
        <v>1</v>
      </c>
      <c r="G517" s="2">
        <f>SUM(G516+Budget[[#This Row],[Income]]-Budget[[#This Row],[Debit]])</f>
        <v>-6928.0199999999977</v>
      </c>
    </row>
    <row r="518" spans="1:7" x14ac:dyDescent="0.45">
      <c r="A518">
        <f>MONTH(Budget[[#This Row],[Date]])</f>
        <v>1</v>
      </c>
      <c r="G518" s="2">
        <f>SUM(G517+Budget[[#This Row],[Income]]-Budget[[#This Row],[Debit]])</f>
        <v>-6928.0199999999977</v>
      </c>
    </row>
    <row r="519" spans="1:7" x14ac:dyDescent="0.45">
      <c r="A519">
        <f>MONTH(Budget[[#This Row],[Date]])</f>
        <v>1</v>
      </c>
      <c r="G519" s="2">
        <f>SUM(G518+Budget[[#This Row],[Income]]-Budget[[#This Row],[Debit]])</f>
        <v>-6928.0199999999977</v>
      </c>
    </row>
    <row r="520" spans="1:7" x14ac:dyDescent="0.45">
      <c r="A520">
        <f>MONTH(Budget[[#This Row],[Date]])</f>
        <v>1</v>
      </c>
      <c r="G520" s="2">
        <f>SUM(G519+Budget[[#This Row],[Income]]-Budget[[#This Row],[Debit]])</f>
        <v>-6928.0199999999977</v>
      </c>
    </row>
    <row r="521" spans="1:7" x14ac:dyDescent="0.45">
      <c r="A521">
        <f>MONTH(Budget[[#This Row],[Date]])</f>
        <v>1</v>
      </c>
      <c r="G521" s="2">
        <f>SUM(G520+Budget[[#This Row],[Income]]-Budget[[#This Row],[Debit]])</f>
        <v>-6928.0199999999977</v>
      </c>
    </row>
    <row r="522" spans="1:7" x14ac:dyDescent="0.45">
      <c r="A522">
        <f>MONTH(Budget[[#This Row],[Date]])</f>
        <v>1</v>
      </c>
      <c r="G522" s="2">
        <f>SUM(G521+Budget[[#This Row],[Income]]-Budget[[#This Row],[Debit]])</f>
        <v>-6928.0199999999977</v>
      </c>
    </row>
    <row r="523" spans="1:7" x14ac:dyDescent="0.45">
      <c r="A523">
        <f>MONTH(Budget[[#This Row],[Date]])</f>
        <v>1</v>
      </c>
      <c r="G523" s="2">
        <f>SUM(G522+Budget[[#This Row],[Income]]-Budget[[#This Row],[Debit]])</f>
        <v>-6928.0199999999977</v>
      </c>
    </row>
    <row r="524" spans="1:7" x14ac:dyDescent="0.45">
      <c r="A524">
        <f>MONTH(Budget[[#This Row],[Date]])</f>
        <v>1</v>
      </c>
      <c r="G524" s="2">
        <f>SUM(G523+Budget[[#This Row],[Income]]-Budget[[#This Row],[Debit]])</f>
        <v>-6928.0199999999977</v>
      </c>
    </row>
    <row r="525" spans="1:7" x14ac:dyDescent="0.45">
      <c r="A525">
        <f>MONTH(Budget[[#This Row],[Date]])</f>
        <v>1</v>
      </c>
      <c r="G525" s="2">
        <f>SUM(G524+Budget[[#This Row],[Income]]-Budget[[#This Row],[Debit]])</f>
        <v>-6928.0199999999977</v>
      </c>
    </row>
    <row r="526" spans="1:7" x14ac:dyDescent="0.45">
      <c r="A526">
        <f>MONTH(Budget[[#This Row],[Date]])</f>
        <v>1</v>
      </c>
      <c r="G526" s="2">
        <f>SUM(G525+Budget[[#This Row],[Income]]-Budget[[#This Row],[Debit]])</f>
        <v>-6928.0199999999977</v>
      </c>
    </row>
    <row r="527" spans="1:7" x14ac:dyDescent="0.45">
      <c r="A527">
        <f>MONTH(Budget[[#This Row],[Date]])</f>
        <v>1</v>
      </c>
      <c r="G527" s="2">
        <f>SUM(G526+Budget[[#This Row],[Income]]-Budget[[#This Row],[Debit]])</f>
        <v>-6928.0199999999977</v>
      </c>
    </row>
    <row r="528" spans="1:7" x14ac:dyDescent="0.45">
      <c r="A528">
        <f>MONTH(Budget[[#This Row],[Date]])</f>
        <v>1</v>
      </c>
      <c r="G528" s="2">
        <f>SUM(G527+Budget[[#This Row],[Income]]-Budget[[#This Row],[Debit]])</f>
        <v>-6928.0199999999977</v>
      </c>
    </row>
    <row r="529" spans="1:7" x14ac:dyDescent="0.45">
      <c r="A529">
        <f>MONTH(Budget[[#This Row],[Date]])</f>
        <v>1</v>
      </c>
      <c r="G529" s="2">
        <f>SUM(G528+Budget[[#This Row],[Income]]-Budget[[#This Row],[Debit]])</f>
        <v>-6928.0199999999977</v>
      </c>
    </row>
    <row r="530" spans="1:7" x14ac:dyDescent="0.45">
      <c r="A530">
        <f>MONTH(Budget[[#This Row],[Date]])</f>
        <v>1</v>
      </c>
      <c r="G530" s="2">
        <f>SUM(G529+Budget[[#This Row],[Income]]-Budget[[#This Row],[Debit]])</f>
        <v>-6928.0199999999977</v>
      </c>
    </row>
    <row r="531" spans="1:7" x14ac:dyDescent="0.45">
      <c r="A531">
        <f>MONTH(Budget[[#This Row],[Date]])</f>
        <v>1</v>
      </c>
      <c r="G531" s="2">
        <f>SUM(G530+Budget[[#This Row],[Income]]-Budget[[#This Row],[Debit]])</f>
        <v>-6928.0199999999977</v>
      </c>
    </row>
    <row r="532" spans="1:7" x14ac:dyDescent="0.45">
      <c r="A532">
        <f>MONTH(Budget[[#This Row],[Date]])</f>
        <v>1</v>
      </c>
      <c r="G532" s="2">
        <f>SUM(G531+Budget[[#This Row],[Income]]-Budget[[#This Row],[Debit]])</f>
        <v>-6928.0199999999977</v>
      </c>
    </row>
    <row r="533" spans="1:7" x14ac:dyDescent="0.45">
      <c r="A533">
        <f>MONTH(Budget[[#This Row],[Date]])</f>
        <v>1</v>
      </c>
      <c r="G533" s="2">
        <f>SUM(G532+Budget[[#This Row],[Income]]-Budget[[#This Row],[Debit]])</f>
        <v>-6928.0199999999977</v>
      </c>
    </row>
    <row r="534" spans="1:7" x14ac:dyDescent="0.45">
      <c r="A534">
        <f>MONTH(Budget[[#This Row],[Date]])</f>
        <v>1</v>
      </c>
      <c r="G534" s="2">
        <f>SUM(G533+Budget[[#This Row],[Income]]-Budget[[#This Row],[Debit]])</f>
        <v>-6928.0199999999977</v>
      </c>
    </row>
    <row r="535" spans="1:7" x14ac:dyDescent="0.45">
      <c r="A535">
        <f>MONTH(Budget[[#This Row],[Date]])</f>
        <v>1</v>
      </c>
      <c r="G535" s="2">
        <f>SUM(G534+Budget[[#This Row],[Income]]-Budget[[#This Row],[Debit]])</f>
        <v>-6928.0199999999977</v>
      </c>
    </row>
    <row r="536" spans="1:7" x14ac:dyDescent="0.45">
      <c r="A536">
        <f>MONTH(Budget[[#This Row],[Date]])</f>
        <v>1</v>
      </c>
      <c r="G536" s="2">
        <f>SUM(G535+Budget[[#This Row],[Income]]-Budget[[#This Row],[Debit]])</f>
        <v>-6928.0199999999977</v>
      </c>
    </row>
    <row r="537" spans="1:7" x14ac:dyDescent="0.45">
      <c r="A537">
        <f>MONTH(Budget[[#This Row],[Date]])</f>
        <v>1</v>
      </c>
      <c r="G537" s="2">
        <f>SUM(G536+Budget[[#This Row],[Income]]-Budget[[#This Row],[Debit]])</f>
        <v>-6928.0199999999977</v>
      </c>
    </row>
    <row r="538" spans="1:7" x14ac:dyDescent="0.45">
      <c r="A538">
        <f>MONTH(Budget[[#This Row],[Date]])</f>
        <v>1</v>
      </c>
      <c r="G538" s="2">
        <f>SUM(G537+Budget[[#This Row],[Income]]-Budget[[#This Row],[Debit]])</f>
        <v>-6928.0199999999977</v>
      </c>
    </row>
    <row r="539" spans="1:7" x14ac:dyDescent="0.45">
      <c r="A539">
        <f>MONTH(Budget[[#This Row],[Date]])</f>
        <v>1</v>
      </c>
      <c r="G539" s="2">
        <f>SUM(G538+Budget[[#This Row],[Income]]-Budget[[#This Row],[Debit]])</f>
        <v>-6928.0199999999977</v>
      </c>
    </row>
    <row r="540" spans="1:7" x14ac:dyDescent="0.45">
      <c r="A540">
        <f>MONTH(Budget[[#This Row],[Date]])</f>
        <v>1</v>
      </c>
      <c r="G540" s="2">
        <f>SUM(G539+Budget[[#This Row],[Income]]-Budget[[#This Row],[Debit]])</f>
        <v>-6928.0199999999977</v>
      </c>
    </row>
    <row r="541" spans="1:7" x14ac:dyDescent="0.45">
      <c r="A541">
        <f>MONTH(Budget[[#This Row],[Date]])</f>
        <v>1</v>
      </c>
      <c r="G541" s="2">
        <f>SUM(G540+Budget[[#This Row],[Income]]-Budget[[#This Row],[Debit]])</f>
        <v>-6928.0199999999977</v>
      </c>
    </row>
    <row r="542" spans="1:7" x14ac:dyDescent="0.45">
      <c r="A542">
        <f>MONTH(Budget[[#This Row],[Date]])</f>
        <v>1</v>
      </c>
      <c r="G542" s="2">
        <f>SUM(G541+Budget[[#This Row],[Income]]-Budget[[#This Row],[Debit]])</f>
        <v>-6928.0199999999977</v>
      </c>
    </row>
    <row r="543" spans="1:7" x14ac:dyDescent="0.45">
      <c r="A543">
        <f>MONTH(Budget[[#This Row],[Date]])</f>
        <v>1</v>
      </c>
      <c r="G543" s="2">
        <f>SUM(G542+Budget[[#This Row],[Income]]-Budget[[#This Row],[Debit]])</f>
        <v>-6928.0199999999977</v>
      </c>
    </row>
    <row r="544" spans="1:7" x14ac:dyDescent="0.45">
      <c r="A544">
        <f>MONTH(Budget[[#This Row],[Date]])</f>
        <v>1</v>
      </c>
      <c r="G544" s="2">
        <f>SUM(G543+Budget[[#This Row],[Income]]-Budget[[#This Row],[Debit]])</f>
        <v>-6928.0199999999977</v>
      </c>
    </row>
    <row r="545" spans="1:7" x14ac:dyDescent="0.45">
      <c r="A545">
        <f>MONTH(Budget[[#This Row],[Date]])</f>
        <v>1</v>
      </c>
      <c r="G545" s="2">
        <f>SUM(G544+Budget[[#This Row],[Income]]-Budget[[#This Row],[Debit]])</f>
        <v>-6928.0199999999977</v>
      </c>
    </row>
    <row r="546" spans="1:7" x14ac:dyDescent="0.45">
      <c r="A546">
        <f>MONTH(Budget[[#This Row],[Date]])</f>
        <v>1</v>
      </c>
      <c r="G546" s="2">
        <f>SUM(G545+Budget[[#This Row],[Income]]-Budget[[#This Row],[Debit]])</f>
        <v>-6928.0199999999977</v>
      </c>
    </row>
    <row r="547" spans="1:7" x14ac:dyDescent="0.45">
      <c r="A547">
        <f>MONTH(Budget[[#This Row],[Date]])</f>
        <v>1</v>
      </c>
      <c r="G547" s="2">
        <f>SUM(G546+Budget[[#This Row],[Income]]-Budget[[#This Row],[Debit]])</f>
        <v>-6928.0199999999977</v>
      </c>
    </row>
    <row r="548" spans="1:7" x14ac:dyDescent="0.45">
      <c r="A548">
        <f>MONTH(Budget[[#This Row],[Date]])</f>
        <v>1</v>
      </c>
      <c r="G548" s="2">
        <f>SUM(G547+Budget[[#This Row],[Income]]-Budget[[#This Row],[Debit]])</f>
        <v>-6928.0199999999977</v>
      </c>
    </row>
    <row r="549" spans="1:7" x14ac:dyDescent="0.45">
      <c r="A549">
        <f>MONTH(Budget[[#This Row],[Date]])</f>
        <v>1</v>
      </c>
      <c r="G549" s="2">
        <f>SUM(G548+Budget[[#This Row],[Income]]-Budget[[#This Row],[Debit]])</f>
        <v>-6928.0199999999977</v>
      </c>
    </row>
    <row r="550" spans="1:7" x14ac:dyDescent="0.45">
      <c r="A550">
        <f>MONTH(Budget[[#This Row],[Date]])</f>
        <v>1</v>
      </c>
      <c r="G550" s="2">
        <f>SUM(G549+Budget[[#This Row],[Income]]-Budget[[#This Row],[Debit]])</f>
        <v>-6928.0199999999977</v>
      </c>
    </row>
    <row r="551" spans="1:7" x14ac:dyDescent="0.45">
      <c r="A551">
        <f>MONTH(Budget[[#This Row],[Date]])</f>
        <v>1</v>
      </c>
      <c r="G551" s="2">
        <f>SUM(G550+Budget[[#This Row],[Income]]-Budget[[#This Row],[Debit]])</f>
        <v>-6928.0199999999977</v>
      </c>
    </row>
    <row r="552" spans="1:7" x14ac:dyDescent="0.45">
      <c r="A552">
        <f>MONTH(Budget[[#This Row],[Date]])</f>
        <v>1</v>
      </c>
      <c r="G552" s="2">
        <f>SUM(G551+Budget[[#This Row],[Income]]-Budget[[#This Row],[Debit]])</f>
        <v>-6928.0199999999977</v>
      </c>
    </row>
    <row r="553" spans="1:7" x14ac:dyDescent="0.45">
      <c r="A553">
        <f>MONTH(Budget[[#This Row],[Date]])</f>
        <v>1</v>
      </c>
      <c r="G553" s="2">
        <f>SUM(G552+Budget[[#This Row],[Income]]-Budget[[#This Row],[Debit]])</f>
        <v>-6928.0199999999977</v>
      </c>
    </row>
    <row r="554" spans="1:7" x14ac:dyDescent="0.45">
      <c r="A554">
        <f>MONTH(Budget[[#This Row],[Date]])</f>
        <v>1</v>
      </c>
      <c r="G554" s="2">
        <f>SUM(G553+Budget[[#This Row],[Income]]-Budget[[#This Row],[Debit]])</f>
        <v>-6928.0199999999977</v>
      </c>
    </row>
    <row r="555" spans="1:7" x14ac:dyDescent="0.45">
      <c r="A555">
        <f>MONTH(Budget[[#This Row],[Date]])</f>
        <v>1</v>
      </c>
      <c r="G555" s="2">
        <f>SUM(G554+Budget[[#This Row],[Income]]-Budget[[#This Row],[Debit]])</f>
        <v>-6928.0199999999977</v>
      </c>
    </row>
    <row r="556" spans="1:7" x14ac:dyDescent="0.45">
      <c r="A556">
        <f>MONTH(Budget[[#This Row],[Date]])</f>
        <v>1</v>
      </c>
      <c r="G556" s="2">
        <f>SUM(G555+Budget[[#This Row],[Income]]-Budget[[#This Row],[Debit]])</f>
        <v>-6928.0199999999977</v>
      </c>
    </row>
    <row r="557" spans="1:7" x14ac:dyDescent="0.45">
      <c r="A557">
        <f>MONTH(Budget[[#This Row],[Date]])</f>
        <v>1</v>
      </c>
      <c r="G557" s="2">
        <f>SUM(G556+Budget[[#This Row],[Income]]-Budget[[#This Row],[Debit]])</f>
        <v>-6928.0199999999977</v>
      </c>
    </row>
    <row r="558" spans="1:7" x14ac:dyDescent="0.45">
      <c r="A558">
        <f>MONTH(Budget[[#This Row],[Date]])</f>
        <v>1</v>
      </c>
      <c r="G558" s="2">
        <f>SUM(G557+Budget[[#This Row],[Income]]-Budget[[#This Row],[Debit]])</f>
        <v>-6928.0199999999977</v>
      </c>
    </row>
    <row r="559" spans="1:7" x14ac:dyDescent="0.45">
      <c r="A559">
        <f>MONTH(Budget[[#This Row],[Date]])</f>
        <v>1</v>
      </c>
      <c r="G559" s="2">
        <f>SUM(G558+Budget[[#This Row],[Income]]-Budget[[#This Row],[Debit]])</f>
        <v>-6928.0199999999977</v>
      </c>
    </row>
    <row r="560" spans="1:7" x14ac:dyDescent="0.45">
      <c r="A560">
        <f>MONTH(Budget[[#This Row],[Date]])</f>
        <v>1</v>
      </c>
      <c r="G560" s="2">
        <f>SUM(G559+Budget[[#This Row],[Income]]-Budget[[#This Row],[Debit]])</f>
        <v>-6928.0199999999977</v>
      </c>
    </row>
    <row r="561" spans="1:7" x14ac:dyDescent="0.45">
      <c r="A561">
        <f>MONTH(Budget[[#This Row],[Date]])</f>
        <v>1</v>
      </c>
      <c r="G561" s="2">
        <f>SUM(G560+Budget[[#This Row],[Income]]-Budget[[#This Row],[Debit]])</f>
        <v>-6928.0199999999977</v>
      </c>
    </row>
    <row r="562" spans="1:7" x14ac:dyDescent="0.45">
      <c r="A562">
        <f>MONTH(Budget[[#This Row],[Date]])</f>
        <v>1</v>
      </c>
      <c r="G562" s="2">
        <f>SUM(G561+Budget[[#This Row],[Income]]-Budget[[#This Row],[Debit]])</f>
        <v>-6928.0199999999977</v>
      </c>
    </row>
    <row r="563" spans="1:7" x14ac:dyDescent="0.45">
      <c r="A563">
        <f>MONTH(Budget[[#This Row],[Date]])</f>
        <v>1</v>
      </c>
      <c r="G563" s="2">
        <f>SUM(G562+Budget[[#This Row],[Income]]-Budget[[#This Row],[Debit]])</f>
        <v>-6928.0199999999977</v>
      </c>
    </row>
    <row r="564" spans="1:7" x14ac:dyDescent="0.45">
      <c r="A564">
        <f>MONTH(Budget[[#This Row],[Date]])</f>
        <v>1</v>
      </c>
      <c r="G564" s="2">
        <f>SUM(G563+Budget[[#This Row],[Income]]-Budget[[#This Row],[Debit]])</f>
        <v>-6928.0199999999977</v>
      </c>
    </row>
    <row r="565" spans="1:7" x14ac:dyDescent="0.45">
      <c r="A565">
        <f>MONTH(Budget[[#This Row],[Date]])</f>
        <v>1</v>
      </c>
      <c r="G565" s="2">
        <f>SUM(G564+Budget[[#This Row],[Income]]-Budget[[#This Row],[Debit]])</f>
        <v>-6928.0199999999977</v>
      </c>
    </row>
    <row r="566" spans="1:7" x14ac:dyDescent="0.45">
      <c r="A566">
        <f>MONTH(Budget[[#This Row],[Date]])</f>
        <v>1</v>
      </c>
      <c r="G566" s="2">
        <f>SUM(G565+Budget[[#This Row],[Income]]-Budget[[#This Row],[Debit]])</f>
        <v>-6928.0199999999977</v>
      </c>
    </row>
    <row r="567" spans="1:7" x14ac:dyDescent="0.45">
      <c r="A567">
        <f>MONTH(Budget[[#This Row],[Date]])</f>
        <v>1</v>
      </c>
      <c r="G567" s="2">
        <f>SUM(G566+Budget[[#This Row],[Income]]-Budget[[#This Row],[Debit]])</f>
        <v>-6928.0199999999977</v>
      </c>
    </row>
    <row r="568" spans="1:7" x14ac:dyDescent="0.45">
      <c r="A568">
        <f>MONTH(Budget[[#This Row],[Date]])</f>
        <v>1</v>
      </c>
      <c r="G568" s="2">
        <f>SUM(G567+Budget[[#This Row],[Income]]-Budget[[#This Row],[Debit]])</f>
        <v>-6928.0199999999977</v>
      </c>
    </row>
    <row r="569" spans="1:7" x14ac:dyDescent="0.45">
      <c r="A569">
        <f>MONTH(Budget[[#This Row],[Date]])</f>
        <v>1</v>
      </c>
      <c r="G569" s="2">
        <f>SUM(G568+Budget[[#This Row],[Income]]-Budget[[#This Row],[Debit]])</f>
        <v>-6928.0199999999977</v>
      </c>
    </row>
    <row r="570" spans="1:7" x14ac:dyDescent="0.45">
      <c r="A570">
        <f>MONTH(Budget[[#This Row],[Date]])</f>
        <v>1</v>
      </c>
      <c r="G570" s="2">
        <f>SUM(G569+Budget[[#This Row],[Income]]-Budget[[#This Row],[Debit]])</f>
        <v>-6928.0199999999977</v>
      </c>
    </row>
    <row r="571" spans="1:7" x14ac:dyDescent="0.45">
      <c r="A571">
        <f>MONTH(Budget[[#This Row],[Date]])</f>
        <v>1</v>
      </c>
      <c r="G571" s="2">
        <f>SUM(G570+Budget[[#This Row],[Income]]-Budget[[#This Row],[Debit]])</f>
        <v>-6928.0199999999977</v>
      </c>
    </row>
    <row r="572" spans="1:7" x14ac:dyDescent="0.45">
      <c r="A572">
        <f>MONTH(Budget[[#This Row],[Date]])</f>
        <v>1</v>
      </c>
      <c r="G572" s="2">
        <f>SUM(G571+Budget[[#This Row],[Income]]-Budget[[#This Row],[Debit]])</f>
        <v>-6928.0199999999977</v>
      </c>
    </row>
    <row r="573" spans="1:7" x14ac:dyDescent="0.45">
      <c r="A573">
        <f>MONTH(Budget[[#This Row],[Date]])</f>
        <v>1</v>
      </c>
      <c r="G573" s="2">
        <f>SUM(G572+Budget[[#This Row],[Income]]-Budget[[#This Row],[Debit]])</f>
        <v>-6928.0199999999977</v>
      </c>
    </row>
    <row r="574" spans="1:7" x14ac:dyDescent="0.45">
      <c r="A574">
        <f>MONTH(Budget[[#This Row],[Date]])</f>
        <v>1</v>
      </c>
      <c r="G574" s="2">
        <f>SUM(G573+Budget[[#This Row],[Income]]-Budget[[#This Row],[Debit]])</f>
        <v>-6928.0199999999977</v>
      </c>
    </row>
    <row r="575" spans="1:7" x14ac:dyDescent="0.45">
      <c r="A575">
        <f>MONTH(Budget[[#This Row],[Date]])</f>
        <v>1</v>
      </c>
      <c r="G575" s="2">
        <f>SUM(G574+Budget[[#This Row],[Income]]-Budget[[#This Row],[Debit]])</f>
        <v>-6928.0199999999977</v>
      </c>
    </row>
    <row r="576" spans="1:7" x14ac:dyDescent="0.45">
      <c r="A576">
        <f>MONTH(Budget[[#This Row],[Date]])</f>
        <v>1</v>
      </c>
      <c r="G576" s="2">
        <f>SUM(G575+Budget[[#This Row],[Income]]-Budget[[#This Row],[Debit]])</f>
        <v>-6928.0199999999977</v>
      </c>
    </row>
    <row r="577" spans="1:7" x14ac:dyDescent="0.45">
      <c r="A577">
        <f>MONTH(Budget[[#This Row],[Date]])</f>
        <v>1</v>
      </c>
      <c r="G577" s="2">
        <f>SUM(G576+Budget[[#This Row],[Income]]-Budget[[#This Row],[Debit]])</f>
        <v>-6928.0199999999977</v>
      </c>
    </row>
    <row r="578" spans="1:7" x14ac:dyDescent="0.45">
      <c r="A578">
        <f>MONTH(Budget[[#This Row],[Date]])</f>
        <v>1</v>
      </c>
      <c r="G578" s="2">
        <f>SUM(G577+Budget[[#This Row],[Income]]-Budget[[#This Row],[Debit]])</f>
        <v>-6928.0199999999977</v>
      </c>
    </row>
    <row r="579" spans="1:7" x14ac:dyDescent="0.45">
      <c r="A579">
        <f>MONTH(Budget[[#This Row],[Date]])</f>
        <v>1</v>
      </c>
      <c r="G579" s="2">
        <f>SUM(G578+Budget[[#This Row],[Income]]-Budget[[#This Row],[Debit]])</f>
        <v>-6928.0199999999977</v>
      </c>
    </row>
    <row r="580" spans="1:7" x14ac:dyDescent="0.45">
      <c r="A580">
        <f>MONTH(Budget[[#This Row],[Date]])</f>
        <v>1</v>
      </c>
      <c r="G580" s="2">
        <f>SUM(G579+Budget[[#This Row],[Income]]-Budget[[#This Row],[Debit]])</f>
        <v>-6928.0199999999977</v>
      </c>
    </row>
    <row r="581" spans="1:7" x14ac:dyDescent="0.45">
      <c r="A581">
        <f>MONTH(Budget[[#This Row],[Date]])</f>
        <v>1</v>
      </c>
      <c r="G581" s="2">
        <f>SUM(G580+Budget[[#This Row],[Income]]-Budget[[#This Row],[Debit]])</f>
        <v>-6928.0199999999977</v>
      </c>
    </row>
    <row r="582" spans="1:7" x14ac:dyDescent="0.45">
      <c r="A582">
        <f>MONTH(Budget[[#This Row],[Date]])</f>
        <v>1</v>
      </c>
      <c r="G582" s="2">
        <f>SUM(G581+Budget[[#This Row],[Income]]-Budget[[#This Row],[Debit]])</f>
        <v>-6928.0199999999977</v>
      </c>
    </row>
    <row r="583" spans="1:7" x14ac:dyDescent="0.45">
      <c r="A583">
        <f>MONTH(Budget[[#This Row],[Date]])</f>
        <v>1</v>
      </c>
      <c r="G583" s="2">
        <f>SUM(G582+Budget[[#This Row],[Income]]-Budget[[#This Row],[Debit]])</f>
        <v>-6928.0199999999977</v>
      </c>
    </row>
    <row r="584" spans="1:7" x14ac:dyDescent="0.45">
      <c r="A584">
        <f>MONTH(Budget[[#This Row],[Date]])</f>
        <v>1</v>
      </c>
      <c r="G584" s="2">
        <f>SUM(G583+Budget[[#This Row],[Income]]-Budget[[#This Row],[Debit]])</f>
        <v>-6928.0199999999977</v>
      </c>
    </row>
    <row r="585" spans="1:7" x14ac:dyDescent="0.45">
      <c r="A585">
        <f>MONTH(Budget[[#This Row],[Date]])</f>
        <v>1</v>
      </c>
      <c r="G585" s="2">
        <f>SUM(G584+Budget[[#This Row],[Income]]-Budget[[#This Row],[Debit]])</f>
        <v>-6928.0199999999977</v>
      </c>
    </row>
    <row r="586" spans="1:7" x14ac:dyDescent="0.45">
      <c r="A586">
        <f>MONTH(Budget[[#This Row],[Date]])</f>
        <v>1</v>
      </c>
      <c r="G586" s="2">
        <f>SUM(G585+Budget[[#This Row],[Income]]-Budget[[#This Row],[Debit]])</f>
        <v>-6928.0199999999977</v>
      </c>
    </row>
    <row r="587" spans="1:7" x14ac:dyDescent="0.45">
      <c r="A587">
        <f>MONTH(Budget[[#This Row],[Date]])</f>
        <v>1</v>
      </c>
      <c r="G587" s="2">
        <f>SUM(G586+Budget[[#This Row],[Income]]-Budget[[#This Row],[Debit]])</f>
        <v>-6928.0199999999977</v>
      </c>
    </row>
    <row r="588" spans="1:7" x14ac:dyDescent="0.45">
      <c r="A588">
        <f>MONTH(Budget[[#This Row],[Date]])</f>
        <v>1</v>
      </c>
      <c r="G588" s="2">
        <f>SUM(G587+Budget[[#This Row],[Income]]-Budget[[#This Row],[Debit]])</f>
        <v>-6928.0199999999977</v>
      </c>
    </row>
    <row r="589" spans="1:7" x14ac:dyDescent="0.45">
      <c r="A589">
        <f>MONTH(Budget[[#This Row],[Date]])</f>
        <v>1</v>
      </c>
      <c r="G589" s="2">
        <f>SUM(G588+Budget[[#This Row],[Income]]-Budget[[#This Row],[Debit]])</f>
        <v>-6928.0199999999977</v>
      </c>
    </row>
    <row r="590" spans="1:7" x14ac:dyDescent="0.45">
      <c r="A590">
        <f>MONTH(Budget[[#This Row],[Date]])</f>
        <v>1</v>
      </c>
      <c r="G590" s="2">
        <f>SUM(G589+Budget[[#This Row],[Income]]-Budget[[#This Row],[Debit]])</f>
        <v>-6928.0199999999977</v>
      </c>
    </row>
    <row r="591" spans="1:7" x14ac:dyDescent="0.45">
      <c r="A591">
        <f>MONTH(Budget[[#This Row],[Date]])</f>
        <v>1</v>
      </c>
      <c r="G591" s="2">
        <f>SUM(G590+Budget[[#This Row],[Income]]-Budget[[#This Row],[Debit]])</f>
        <v>-6928.0199999999977</v>
      </c>
    </row>
    <row r="592" spans="1:7" x14ac:dyDescent="0.45">
      <c r="A592">
        <f>MONTH(Budget[[#This Row],[Date]])</f>
        <v>1</v>
      </c>
      <c r="G592" s="2">
        <f>SUM(G591+Budget[[#This Row],[Income]]-Budget[[#This Row],[Debit]])</f>
        <v>-6928.0199999999977</v>
      </c>
    </row>
    <row r="593" spans="1:7" x14ac:dyDescent="0.45">
      <c r="A593">
        <f>MONTH(Budget[[#This Row],[Date]])</f>
        <v>1</v>
      </c>
      <c r="G593" s="2">
        <f>SUM(G592+Budget[[#This Row],[Income]]-Budget[[#This Row],[Debit]])</f>
        <v>-6928.0199999999977</v>
      </c>
    </row>
    <row r="594" spans="1:7" x14ac:dyDescent="0.45">
      <c r="A594">
        <f>MONTH(Budget[[#This Row],[Date]])</f>
        <v>1</v>
      </c>
      <c r="G594" s="2">
        <f>SUM(G593+Budget[[#This Row],[Income]]-Budget[[#This Row],[Debit]])</f>
        <v>-6928.0199999999977</v>
      </c>
    </row>
    <row r="595" spans="1:7" x14ac:dyDescent="0.45">
      <c r="A595">
        <f>MONTH(Budget[[#This Row],[Date]])</f>
        <v>1</v>
      </c>
      <c r="G595" s="2">
        <f>SUM(G594+Budget[[#This Row],[Income]]-Budget[[#This Row],[Debit]])</f>
        <v>-6928.0199999999977</v>
      </c>
    </row>
    <row r="596" spans="1:7" x14ac:dyDescent="0.45">
      <c r="A596">
        <f>MONTH(Budget[[#This Row],[Date]])</f>
        <v>1</v>
      </c>
      <c r="G596" s="2">
        <f>SUM(G595+Budget[[#This Row],[Income]]-Budget[[#This Row],[Debit]])</f>
        <v>-6928.0199999999977</v>
      </c>
    </row>
    <row r="597" spans="1:7" x14ac:dyDescent="0.45">
      <c r="A597">
        <f>MONTH(Budget[[#This Row],[Date]])</f>
        <v>1</v>
      </c>
      <c r="G597" s="2">
        <f>SUM(G596+Budget[[#This Row],[Income]]-Budget[[#This Row],[Debit]])</f>
        <v>-6928.0199999999977</v>
      </c>
    </row>
    <row r="598" spans="1:7" x14ac:dyDescent="0.45">
      <c r="A598">
        <f>MONTH(Budget[[#This Row],[Date]])</f>
        <v>1</v>
      </c>
      <c r="G598" s="2">
        <f>SUM(G597+Budget[[#This Row],[Income]]-Budget[[#This Row],[Debit]])</f>
        <v>-6928.0199999999977</v>
      </c>
    </row>
    <row r="599" spans="1:7" x14ac:dyDescent="0.45">
      <c r="A599">
        <f>MONTH(Budget[[#This Row],[Date]])</f>
        <v>1</v>
      </c>
      <c r="G599" s="2">
        <f>SUM(G598+Budget[[#This Row],[Income]]-Budget[[#This Row],[Debit]])</f>
        <v>-6928.0199999999977</v>
      </c>
    </row>
    <row r="600" spans="1:7" x14ac:dyDescent="0.45">
      <c r="A600">
        <f>MONTH(Budget[[#This Row],[Date]])</f>
        <v>1</v>
      </c>
      <c r="G600" s="2">
        <f>SUM(G599+Budget[[#This Row],[Income]]-Budget[[#This Row],[Debit]])</f>
        <v>-6928.0199999999977</v>
      </c>
    </row>
    <row r="601" spans="1:7" x14ac:dyDescent="0.45">
      <c r="A601">
        <f>MONTH(Budget[[#This Row],[Date]])</f>
        <v>1</v>
      </c>
      <c r="G601" s="2">
        <f>SUM(G600+Budget[[#This Row],[Income]]-Budget[[#This Row],[Debit]])</f>
        <v>-6928.0199999999977</v>
      </c>
    </row>
    <row r="602" spans="1:7" x14ac:dyDescent="0.45">
      <c r="A602">
        <f>MONTH(Budget[[#This Row],[Date]])</f>
        <v>1</v>
      </c>
      <c r="G602" s="2">
        <f>SUM(G601+Budget[[#This Row],[Income]]-Budget[[#This Row],[Debit]])</f>
        <v>-6928.0199999999977</v>
      </c>
    </row>
    <row r="603" spans="1:7" x14ac:dyDescent="0.45">
      <c r="A603">
        <f>MONTH(Budget[[#This Row],[Date]])</f>
        <v>1</v>
      </c>
      <c r="G603" s="2">
        <f>SUM(G602+Budget[[#This Row],[Income]]-Budget[[#This Row],[Debit]])</f>
        <v>-6928.0199999999977</v>
      </c>
    </row>
    <row r="604" spans="1:7" x14ac:dyDescent="0.45">
      <c r="A604">
        <f>MONTH(Budget[[#This Row],[Date]])</f>
        <v>1</v>
      </c>
      <c r="G604" s="2">
        <f>SUM(G603+Budget[[#This Row],[Income]]-Budget[[#This Row],[Debit]])</f>
        <v>-6928.0199999999977</v>
      </c>
    </row>
    <row r="605" spans="1:7" x14ac:dyDescent="0.45">
      <c r="A605">
        <f>MONTH(Budget[[#This Row],[Date]])</f>
        <v>1</v>
      </c>
      <c r="G605" s="2">
        <f>SUM(G604+Budget[[#This Row],[Income]]-Budget[[#This Row],[Debit]])</f>
        <v>-6928.0199999999977</v>
      </c>
    </row>
    <row r="606" spans="1:7" x14ac:dyDescent="0.45">
      <c r="A606">
        <f>MONTH(Budget[[#This Row],[Date]])</f>
        <v>1</v>
      </c>
      <c r="G606" s="2">
        <f>SUM(G605+Budget[[#This Row],[Income]]-Budget[[#This Row],[Debit]])</f>
        <v>-6928.0199999999977</v>
      </c>
    </row>
    <row r="607" spans="1:7" x14ac:dyDescent="0.45">
      <c r="A607">
        <f>MONTH(Budget[[#This Row],[Date]])</f>
        <v>1</v>
      </c>
      <c r="G607" s="2">
        <f>SUM(G606+Budget[[#This Row],[Income]]-Budget[[#This Row],[Debit]])</f>
        <v>-6928.0199999999977</v>
      </c>
    </row>
    <row r="608" spans="1:7" x14ac:dyDescent="0.45">
      <c r="A608">
        <f>MONTH(Budget[[#This Row],[Date]])</f>
        <v>1</v>
      </c>
      <c r="G608" s="2">
        <f>SUM(G607+Budget[[#This Row],[Income]]-Budget[[#This Row],[Debit]])</f>
        <v>-6928.0199999999977</v>
      </c>
    </row>
    <row r="609" spans="1:7" x14ac:dyDescent="0.45">
      <c r="A609">
        <f>MONTH(Budget[[#This Row],[Date]])</f>
        <v>1</v>
      </c>
      <c r="G609" s="2">
        <f>SUM(G608+Budget[[#This Row],[Income]]-Budget[[#This Row],[Debit]])</f>
        <v>-6928.0199999999977</v>
      </c>
    </row>
    <row r="610" spans="1:7" x14ac:dyDescent="0.45">
      <c r="A610">
        <f>MONTH(Budget[[#This Row],[Date]])</f>
        <v>1</v>
      </c>
      <c r="G610" s="2">
        <f>SUM(G609+Budget[[#This Row],[Income]]-Budget[[#This Row],[Debit]])</f>
        <v>-6928.0199999999977</v>
      </c>
    </row>
    <row r="611" spans="1:7" x14ac:dyDescent="0.45">
      <c r="A611">
        <f>MONTH(Budget[[#This Row],[Date]])</f>
        <v>1</v>
      </c>
      <c r="G611" s="2">
        <f>SUM(G610+Budget[[#This Row],[Income]]-Budget[[#This Row],[Debit]])</f>
        <v>-6928.0199999999977</v>
      </c>
    </row>
    <row r="612" spans="1:7" x14ac:dyDescent="0.45">
      <c r="A612">
        <f>MONTH(Budget[[#This Row],[Date]])</f>
        <v>1</v>
      </c>
      <c r="G612" s="2">
        <f>SUM(G611+Budget[[#This Row],[Income]]-Budget[[#This Row],[Debit]])</f>
        <v>-6928.0199999999977</v>
      </c>
    </row>
    <row r="613" spans="1:7" x14ac:dyDescent="0.45">
      <c r="A613">
        <f>MONTH(Budget[[#This Row],[Date]])</f>
        <v>1</v>
      </c>
      <c r="G613" s="2">
        <f>SUM(G612+Budget[[#This Row],[Income]]-Budget[[#This Row],[Debit]])</f>
        <v>-6928.0199999999977</v>
      </c>
    </row>
    <row r="614" spans="1:7" x14ac:dyDescent="0.45">
      <c r="A614">
        <f>MONTH(Budget[[#This Row],[Date]])</f>
        <v>1</v>
      </c>
      <c r="G614" s="2">
        <f>SUM(G613+Budget[[#This Row],[Income]]-Budget[[#This Row],[Debit]])</f>
        <v>-6928.0199999999977</v>
      </c>
    </row>
    <row r="615" spans="1:7" x14ac:dyDescent="0.45">
      <c r="A615">
        <f>MONTH(Budget[[#This Row],[Date]])</f>
        <v>1</v>
      </c>
      <c r="G615" s="2">
        <f>SUM(G614+Budget[[#This Row],[Income]]-Budget[[#This Row],[Debit]])</f>
        <v>-6928.0199999999977</v>
      </c>
    </row>
    <row r="616" spans="1:7" x14ac:dyDescent="0.45">
      <c r="A616">
        <f>MONTH(Budget[[#This Row],[Date]])</f>
        <v>1</v>
      </c>
      <c r="G616" s="2">
        <f>SUM(G615+Budget[[#This Row],[Income]]-Budget[[#This Row],[Debit]])</f>
        <v>-6928.0199999999977</v>
      </c>
    </row>
    <row r="617" spans="1:7" x14ac:dyDescent="0.45">
      <c r="A617">
        <f>MONTH(Budget[[#This Row],[Date]])</f>
        <v>1</v>
      </c>
      <c r="G617" s="2">
        <f>SUM(G616+Budget[[#This Row],[Income]]-Budget[[#This Row],[Debit]])</f>
        <v>-6928.0199999999977</v>
      </c>
    </row>
    <row r="618" spans="1:7" x14ac:dyDescent="0.45">
      <c r="A618">
        <f>MONTH(Budget[[#This Row],[Date]])</f>
        <v>1</v>
      </c>
      <c r="G618" s="2">
        <f>SUM(G617+Budget[[#This Row],[Income]]-Budget[[#This Row],[Debit]])</f>
        <v>-6928.0199999999977</v>
      </c>
    </row>
    <row r="619" spans="1:7" x14ac:dyDescent="0.45">
      <c r="A619">
        <f>MONTH(Budget[[#This Row],[Date]])</f>
        <v>1</v>
      </c>
      <c r="G619" s="2">
        <f>SUM(G618+Budget[[#This Row],[Income]]-Budget[[#This Row],[Debit]])</f>
        <v>-6928.0199999999977</v>
      </c>
    </row>
    <row r="620" spans="1:7" x14ac:dyDescent="0.45">
      <c r="A620">
        <f>MONTH(Budget[[#This Row],[Date]])</f>
        <v>1</v>
      </c>
      <c r="G620" s="2">
        <f>SUM(G619+Budget[[#This Row],[Income]]-Budget[[#This Row],[Debit]])</f>
        <v>-6928.0199999999977</v>
      </c>
    </row>
    <row r="621" spans="1:7" x14ac:dyDescent="0.45">
      <c r="A621">
        <f>MONTH(Budget[[#This Row],[Date]])</f>
        <v>1</v>
      </c>
      <c r="G621" s="2">
        <f>SUM(G620+Budget[[#This Row],[Income]]-Budget[[#This Row],[Debit]])</f>
        <v>-6928.0199999999977</v>
      </c>
    </row>
    <row r="622" spans="1:7" x14ac:dyDescent="0.45">
      <c r="A622">
        <f>MONTH(Budget[[#This Row],[Date]])</f>
        <v>1</v>
      </c>
      <c r="G622" s="2">
        <f>SUM(G621+Budget[[#This Row],[Income]]-Budget[[#This Row],[Debit]])</f>
        <v>-6928.0199999999977</v>
      </c>
    </row>
    <row r="623" spans="1:7" x14ac:dyDescent="0.45">
      <c r="A623">
        <f>MONTH(Budget[[#This Row],[Date]])</f>
        <v>1</v>
      </c>
      <c r="G623" s="2">
        <f>SUM(G622+Budget[[#This Row],[Income]]-Budget[[#This Row],[Debit]])</f>
        <v>-6928.0199999999977</v>
      </c>
    </row>
    <row r="624" spans="1:7" x14ac:dyDescent="0.45">
      <c r="A624">
        <f>MONTH(Budget[[#This Row],[Date]])</f>
        <v>1</v>
      </c>
      <c r="G624" s="2">
        <f>SUM(G623+Budget[[#This Row],[Income]]-Budget[[#This Row],[Debit]])</f>
        <v>-6928.0199999999977</v>
      </c>
    </row>
    <row r="625" spans="1:7" x14ac:dyDescent="0.45">
      <c r="A625">
        <f>MONTH(Budget[[#This Row],[Date]])</f>
        <v>1</v>
      </c>
      <c r="G625" s="2">
        <f>SUM(G624+Budget[[#This Row],[Income]]-Budget[[#This Row],[Debit]])</f>
        <v>-6928.0199999999977</v>
      </c>
    </row>
    <row r="626" spans="1:7" x14ac:dyDescent="0.45">
      <c r="A626">
        <f>MONTH(Budget[[#This Row],[Date]])</f>
        <v>1</v>
      </c>
      <c r="G626" s="2">
        <f>SUM(G625+Budget[[#This Row],[Income]]-Budget[[#This Row],[Debit]])</f>
        <v>-6928.0199999999977</v>
      </c>
    </row>
    <row r="627" spans="1:7" x14ac:dyDescent="0.45">
      <c r="A627">
        <f>MONTH(Budget[[#This Row],[Date]])</f>
        <v>1</v>
      </c>
      <c r="G627" s="2">
        <f>SUM(G626+Budget[[#This Row],[Income]]-Budget[[#This Row],[Debit]])</f>
        <v>-6928.0199999999977</v>
      </c>
    </row>
    <row r="628" spans="1:7" x14ac:dyDescent="0.45">
      <c r="A628">
        <f>MONTH(Budget[[#This Row],[Date]])</f>
        <v>1</v>
      </c>
      <c r="G628" s="2">
        <f>SUM(G627+Budget[[#This Row],[Income]]-Budget[[#This Row],[Debit]])</f>
        <v>-6928.0199999999977</v>
      </c>
    </row>
    <row r="629" spans="1:7" x14ac:dyDescent="0.45">
      <c r="A629">
        <f>MONTH(Budget[[#This Row],[Date]])</f>
        <v>1</v>
      </c>
      <c r="G629" s="2">
        <f>SUM(G628+Budget[[#This Row],[Income]]-Budget[[#This Row],[Debit]])</f>
        <v>-6928.0199999999977</v>
      </c>
    </row>
    <row r="630" spans="1:7" x14ac:dyDescent="0.45">
      <c r="A630">
        <f>MONTH(Budget[[#This Row],[Date]])</f>
        <v>1</v>
      </c>
      <c r="G630" s="2">
        <f>SUM(G629+Budget[[#This Row],[Income]]-Budget[[#This Row],[Debit]])</f>
        <v>-6928.0199999999977</v>
      </c>
    </row>
    <row r="631" spans="1:7" x14ac:dyDescent="0.45">
      <c r="A631">
        <f>MONTH(Budget[[#This Row],[Date]])</f>
        <v>1</v>
      </c>
      <c r="G631" s="2">
        <f>SUM(G630+Budget[[#This Row],[Income]]-Budget[[#This Row],[Debit]])</f>
        <v>-6928.0199999999977</v>
      </c>
    </row>
    <row r="632" spans="1:7" x14ac:dyDescent="0.45">
      <c r="A632">
        <f>MONTH(Budget[[#This Row],[Date]])</f>
        <v>1</v>
      </c>
      <c r="G632" s="2">
        <f>SUM(G631+Budget[[#This Row],[Income]]-Budget[[#This Row],[Debit]])</f>
        <v>-6928.0199999999977</v>
      </c>
    </row>
    <row r="633" spans="1:7" x14ac:dyDescent="0.45">
      <c r="A633">
        <f>MONTH(Budget[[#This Row],[Date]])</f>
        <v>1</v>
      </c>
      <c r="G633" s="2">
        <f>SUM(G632+Budget[[#This Row],[Income]]-Budget[[#This Row],[Debit]])</f>
        <v>-6928.0199999999977</v>
      </c>
    </row>
    <row r="634" spans="1:7" x14ac:dyDescent="0.45">
      <c r="A634">
        <f>MONTH(Budget[[#This Row],[Date]])</f>
        <v>1</v>
      </c>
      <c r="G634" s="2">
        <f>SUM(G633+Budget[[#This Row],[Income]]-Budget[[#This Row],[Debit]])</f>
        <v>-6928.0199999999977</v>
      </c>
    </row>
    <row r="635" spans="1:7" x14ac:dyDescent="0.45">
      <c r="A635">
        <f>MONTH(Budget[[#This Row],[Date]])</f>
        <v>1</v>
      </c>
      <c r="G635" s="2">
        <f>SUM(G634+Budget[[#This Row],[Income]]-Budget[[#This Row],[Debit]])</f>
        <v>-6928.0199999999977</v>
      </c>
    </row>
    <row r="636" spans="1:7" x14ac:dyDescent="0.45">
      <c r="A636">
        <f>MONTH(Budget[[#This Row],[Date]])</f>
        <v>1</v>
      </c>
      <c r="G636" s="2">
        <f>SUM(G635+Budget[[#This Row],[Income]]-Budget[[#This Row],[Debit]])</f>
        <v>-6928.0199999999977</v>
      </c>
    </row>
    <row r="637" spans="1:7" x14ac:dyDescent="0.45">
      <c r="A637">
        <f>MONTH(Budget[[#This Row],[Date]])</f>
        <v>1</v>
      </c>
      <c r="G637" s="2">
        <f>SUM(G636+Budget[[#This Row],[Income]]-Budget[[#This Row],[Debit]])</f>
        <v>-6928.0199999999977</v>
      </c>
    </row>
    <row r="638" spans="1:7" x14ac:dyDescent="0.45">
      <c r="A638">
        <f>MONTH(Budget[[#This Row],[Date]])</f>
        <v>1</v>
      </c>
      <c r="G638" s="2">
        <f>SUM(G637+Budget[[#This Row],[Income]]-Budget[[#This Row],[Debit]])</f>
        <v>-6928.0199999999977</v>
      </c>
    </row>
    <row r="639" spans="1:7" x14ac:dyDescent="0.45">
      <c r="A639">
        <f>MONTH(Budget[[#This Row],[Date]])</f>
        <v>1</v>
      </c>
      <c r="G639" s="2">
        <f>SUM(G638+Budget[[#This Row],[Income]]-Budget[[#This Row],[Debit]])</f>
        <v>-6928.0199999999977</v>
      </c>
    </row>
    <row r="640" spans="1:7" x14ac:dyDescent="0.45">
      <c r="A640">
        <f>MONTH(Budget[[#This Row],[Date]])</f>
        <v>1</v>
      </c>
      <c r="G640" s="2">
        <f>SUM(G639+Budget[[#This Row],[Income]]-Budget[[#This Row],[Debit]])</f>
        <v>-6928.0199999999977</v>
      </c>
    </row>
    <row r="641" spans="1:7" x14ac:dyDescent="0.45">
      <c r="A641">
        <f>MONTH(Budget[[#This Row],[Date]])</f>
        <v>1</v>
      </c>
      <c r="G641" s="2">
        <f>SUM(G640+Budget[[#This Row],[Income]]-Budget[[#This Row],[Debit]])</f>
        <v>-6928.0199999999977</v>
      </c>
    </row>
    <row r="642" spans="1:7" x14ac:dyDescent="0.45">
      <c r="A642">
        <f>MONTH(Budget[[#This Row],[Date]])</f>
        <v>1</v>
      </c>
      <c r="G642" s="2">
        <f>SUM(G641+Budget[[#This Row],[Income]]-Budget[[#This Row],[Debit]])</f>
        <v>-6928.0199999999977</v>
      </c>
    </row>
    <row r="643" spans="1:7" x14ac:dyDescent="0.45">
      <c r="A643">
        <f>MONTH(Budget[[#This Row],[Date]])</f>
        <v>1</v>
      </c>
      <c r="G643" s="2">
        <f>SUM(G642+Budget[[#This Row],[Income]]-Budget[[#This Row],[Debit]])</f>
        <v>-6928.0199999999977</v>
      </c>
    </row>
    <row r="644" spans="1:7" x14ac:dyDescent="0.45">
      <c r="A644">
        <f>MONTH(Budget[[#This Row],[Date]])</f>
        <v>1</v>
      </c>
      <c r="G644" s="2">
        <f>SUM(G643+Budget[[#This Row],[Income]]-Budget[[#This Row],[Debit]])</f>
        <v>-6928.0199999999977</v>
      </c>
    </row>
    <row r="645" spans="1:7" x14ac:dyDescent="0.45">
      <c r="A645">
        <f>MONTH(Budget[[#This Row],[Date]])</f>
        <v>1</v>
      </c>
      <c r="G645" s="2">
        <f>SUM(G644+Budget[[#This Row],[Income]]-Budget[[#This Row],[Debit]])</f>
        <v>-6928.0199999999977</v>
      </c>
    </row>
    <row r="646" spans="1:7" x14ac:dyDescent="0.45">
      <c r="A646">
        <f>MONTH(Budget[[#This Row],[Date]])</f>
        <v>1</v>
      </c>
      <c r="G646" s="2">
        <f>SUM(G645+Budget[[#This Row],[Income]]-Budget[[#This Row],[Debit]])</f>
        <v>-6928.0199999999977</v>
      </c>
    </row>
    <row r="647" spans="1:7" x14ac:dyDescent="0.45">
      <c r="A647">
        <f>MONTH(Budget[[#This Row],[Date]])</f>
        <v>1</v>
      </c>
      <c r="G647" s="2">
        <f>SUM(G646+Budget[[#This Row],[Income]]-Budget[[#This Row],[Debit]])</f>
        <v>-6928.0199999999977</v>
      </c>
    </row>
    <row r="648" spans="1:7" x14ac:dyDescent="0.45">
      <c r="A648">
        <f>MONTH(Budget[[#This Row],[Date]])</f>
        <v>1</v>
      </c>
      <c r="G648" s="2">
        <f>SUM(G647+Budget[[#This Row],[Income]]-Budget[[#This Row],[Debit]])</f>
        <v>-6928.0199999999977</v>
      </c>
    </row>
    <row r="649" spans="1:7" x14ac:dyDescent="0.45">
      <c r="A649">
        <f>MONTH(Budget[[#This Row],[Date]])</f>
        <v>1</v>
      </c>
      <c r="G649" s="2">
        <f>SUM(G648+Budget[[#This Row],[Income]]-Budget[[#This Row],[Debit]])</f>
        <v>-6928.0199999999977</v>
      </c>
    </row>
    <row r="650" spans="1:7" x14ac:dyDescent="0.45">
      <c r="A650">
        <f>MONTH(Budget[[#This Row],[Date]])</f>
        <v>1</v>
      </c>
      <c r="G650" s="2">
        <f>SUM(G649+Budget[[#This Row],[Income]]-Budget[[#This Row],[Debit]])</f>
        <v>-6928.0199999999977</v>
      </c>
    </row>
    <row r="651" spans="1:7" x14ac:dyDescent="0.45">
      <c r="A651">
        <f>MONTH(Budget[[#This Row],[Date]])</f>
        <v>1</v>
      </c>
      <c r="G651" s="2">
        <f>SUM(G650+Budget[[#This Row],[Income]]-Budget[[#This Row],[Debit]])</f>
        <v>-6928.0199999999977</v>
      </c>
    </row>
    <row r="652" spans="1:7" x14ac:dyDescent="0.45">
      <c r="A652">
        <f>MONTH(Budget[[#This Row],[Date]])</f>
        <v>1</v>
      </c>
      <c r="G652" s="2">
        <f>SUM(G651+Budget[[#This Row],[Income]]-Budget[[#This Row],[Debit]])</f>
        <v>-6928.0199999999977</v>
      </c>
    </row>
    <row r="653" spans="1:7" x14ac:dyDescent="0.45">
      <c r="A653">
        <f>MONTH(Budget[[#This Row],[Date]])</f>
        <v>1</v>
      </c>
      <c r="G653" s="2">
        <f>SUM(G652+Budget[[#This Row],[Income]]-Budget[[#This Row],[Debit]])</f>
        <v>-6928.0199999999977</v>
      </c>
    </row>
    <row r="654" spans="1:7" x14ac:dyDescent="0.45">
      <c r="A654">
        <f>MONTH(Budget[[#This Row],[Date]])</f>
        <v>1</v>
      </c>
      <c r="G654" s="2">
        <f>SUM(G653+Budget[[#This Row],[Income]]-Budget[[#This Row],[Debit]])</f>
        <v>-6928.0199999999977</v>
      </c>
    </row>
    <row r="655" spans="1:7" x14ac:dyDescent="0.45">
      <c r="A655">
        <f>MONTH(Budget[[#This Row],[Date]])</f>
        <v>1</v>
      </c>
      <c r="G655" s="2">
        <f>SUM(G654+Budget[[#This Row],[Income]]-Budget[[#This Row],[Debit]])</f>
        <v>-6928.0199999999977</v>
      </c>
    </row>
    <row r="656" spans="1:7" x14ac:dyDescent="0.45">
      <c r="A656">
        <f>MONTH(Budget[[#This Row],[Date]])</f>
        <v>1</v>
      </c>
      <c r="G656" s="2">
        <f>SUM(G655+Budget[[#This Row],[Income]]-Budget[[#This Row],[Debit]])</f>
        <v>-6928.0199999999977</v>
      </c>
    </row>
    <row r="657" spans="1:7" x14ac:dyDescent="0.45">
      <c r="A657">
        <f>MONTH(Budget[[#This Row],[Date]])</f>
        <v>1</v>
      </c>
      <c r="G657" s="2">
        <f>SUM(G656+Budget[[#This Row],[Income]]-Budget[[#This Row],[Debit]])</f>
        <v>-6928.0199999999977</v>
      </c>
    </row>
    <row r="658" spans="1:7" x14ac:dyDescent="0.45">
      <c r="A658">
        <f>MONTH(Budget[[#This Row],[Date]])</f>
        <v>1</v>
      </c>
      <c r="G658" s="2">
        <f>SUM(G657+Budget[[#This Row],[Income]]-Budget[[#This Row],[Debit]])</f>
        <v>-6928.0199999999977</v>
      </c>
    </row>
    <row r="659" spans="1:7" x14ac:dyDescent="0.45">
      <c r="A659">
        <f>MONTH(Budget[[#This Row],[Date]])</f>
        <v>1</v>
      </c>
      <c r="G659" s="2">
        <f>SUM(G658+Budget[[#This Row],[Income]]-Budget[[#This Row],[Debit]])</f>
        <v>-6928.0199999999977</v>
      </c>
    </row>
    <row r="660" spans="1:7" x14ac:dyDescent="0.45">
      <c r="A660">
        <f>MONTH(Budget[[#This Row],[Date]])</f>
        <v>1</v>
      </c>
      <c r="G660" s="2">
        <f>SUM(G659+Budget[[#This Row],[Income]]-Budget[[#This Row],[Debit]])</f>
        <v>-6928.0199999999977</v>
      </c>
    </row>
    <row r="661" spans="1:7" x14ac:dyDescent="0.45">
      <c r="A661">
        <f>MONTH(Budget[[#This Row],[Date]])</f>
        <v>1</v>
      </c>
      <c r="G661" s="2">
        <f>SUM(G660+Budget[[#This Row],[Income]]-Budget[[#This Row],[Debit]])</f>
        <v>-6928.0199999999977</v>
      </c>
    </row>
    <row r="662" spans="1:7" x14ac:dyDescent="0.45">
      <c r="A662">
        <f>MONTH(Budget[[#This Row],[Date]])</f>
        <v>1</v>
      </c>
      <c r="G662" s="2">
        <f>SUM(G661+Budget[[#This Row],[Income]]-Budget[[#This Row],[Debit]])</f>
        <v>-6928.0199999999977</v>
      </c>
    </row>
    <row r="663" spans="1:7" x14ac:dyDescent="0.45">
      <c r="A663">
        <f>MONTH(Budget[[#This Row],[Date]])</f>
        <v>1</v>
      </c>
      <c r="G663" s="2">
        <f>SUM(G662+Budget[[#This Row],[Income]]-Budget[[#This Row],[Debit]])</f>
        <v>-6928.0199999999977</v>
      </c>
    </row>
    <row r="664" spans="1:7" x14ac:dyDescent="0.45">
      <c r="A664">
        <f>MONTH(Budget[[#This Row],[Date]])</f>
        <v>1</v>
      </c>
      <c r="G664" s="2">
        <f>SUM(G663+Budget[[#This Row],[Income]]-Budget[[#This Row],[Debit]])</f>
        <v>-6928.0199999999977</v>
      </c>
    </row>
    <row r="665" spans="1:7" x14ac:dyDescent="0.45">
      <c r="A665">
        <f>MONTH(Budget[[#This Row],[Date]])</f>
        <v>1</v>
      </c>
      <c r="G665" s="2">
        <f>SUM(G664+Budget[[#This Row],[Income]]-Budget[[#This Row],[Debit]])</f>
        <v>-6928.0199999999977</v>
      </c>
    </row>
    <row r="666" spans="1:7" x14ac:dyDescent="0.45">
      <c r="A666">
        <f>MONTH(Budget[[#This Row],[Date]])</f>
        <v>1</v>
      </c>
      <c r="G666" s="2">
        <f>SUM(G665+Budget[[#This Row],[Income]]-Budget[[#This Row],[Debit]])</f>
        <v>-6928.0199999999977</v>
      </c>
    </row>
    <row r="667" spans="1:7" x14ac:dyDescent="0.45">
      <c r="A667">
        <f>MONTH(Budget[[#This Row],[Date]])</f>
        <v>1</v>
      </c>
      <c r="G667" s="2">
        <f>SUM(G666+Budget[[#This Row],[Income]]-Budget[[#This Row],[Debit]])</f>
        <v>-6928.0199999999977</v>
      </c>
    </row>
    <row r="668" spans="1:7" x14ac:dyDescent="0.45">
      <c r="A668">
        <f>MONTH(Budget[[#This Row],[Date]])</f>
        <v>1</v>
      </c>
      <c r="G668" s="2">
        <f>SUM(G667+Budget[[#This Row],[Income]]-Budget[[#This Row],[Debit]])</f>
        <v>-6928.0199999999977</v>
      </c>
    </row>
    <row r="669" spans="1:7" x14ac:dyDescent="0.45">
      <c r="A669">
        <f>MONTH(Budget[[#This Row],[Date]])</f>
        <v>1</v>
      </c>
      <c r="G669" s="2">
        <f>SUM(G668+Budget[[#This Row],[Income]]-Budget[[#This Row],[Debit]])</f>
        <v>-6928.0199999999977</v>
      </c>
    </row>
    <row r="670" spans="1:7" x14ac:dyDescent="0.45">
      <c r="A670">
        <f>MONTH(Budget[[#This Row],[Date]])</f>
        <v>1</v>
      </c>
      <c r="G670" s="2">
        <f>SUM(G669+Budget[[#This Row],[Income]]-Budget[[#This Row],[Debit]])</f>
        <v>-6928.0199999999977</v>
      </c>
    </row>
    <row r="671" spans="1:7" x14ac:dyDescent="0.45">
      <c r="A671">
        <f>MONTH(Budget[[#This Row],[Date]])</f>
        <v>1</v>
      </c>
      <c r="G671" s="2">
        <f>SUM(G670+Budget[[#This Row],[Income]]-Budget[[#This Row],[Debit]])</f>
        <v>-6928.0199999999977</v>
      </c>
    </row>
    <row r="672" spans="1:7" x14ac:dyDescent="0.45">
      <c r="A672">
        <f>MONTH(Budget[[#This Row],[Date]])</f>
        <v>1</v>
      </c>
      <c r="G672" s="2">
        <f>SUM(G671+Budget[[#This Row],[Income]]-Budget[[#This Row],[Debit]])</f>
        <v>-6928.0199999999977</v>
      </c>
    </row>
    <row r="673" spans="1:7" x14ac:dyDescent="0.45">
      <c r="A673">
        <f>MONTH(Budget[[#This Row],[Date]])</f>
        <v>1</v>
      </c>
      <c r="G673" s="2">
        <f>SUM(G672+Budget[[#This Row],[Income]]-Budget[[#This Row],[Debit]])</f>
        <v>-6928.0199999999977</v>
      </c>
    </row>
    <row r="674" spans="1:7" x14ac:dyDescent="0.45">
      <c r="A674">
        <f>MONTH(Budget[[#This Row],[Date]])</f>
        <v>1</v>
      </c>
      <c r="G674" s="2">
        <f>SUM(G673+Budget[[#This Row],[Income]]-Budget[[#This Row],[Debit]])</f>
        <v>-6928.0199999999977</v>
      </c>
    </row>
    <row r="675" spans="1:7" x14ac:dyDescent="0.45">
      <c r="A675">
        <f>MONTH(Budget[[#This Row],[Date]])</f>
        <v>1</v>
      </c>
      <c r="G675" s="2">
        <f>SUM(G674+Budget[[#This Row],[Income]]-Budget[[#This Row],[Debit]])</f>
        <v>-6928.0199999999977</v>
      </c>
    </row>
    <row r="676" spans="1:7" x14ac:dyDescent="0.45">
      <c r="A676">
        <f>MONTH(Budget[[#This Row],[Date]])</f>
        <v>1</v>
      </c>
      <c r="G676" s="2">
        <f>SUM(G675+Budget[[#This Row],[Income]]-Budget[[#This Row],[Debit]])</f>
        <v>-6928.0199999999977</v>
      </c>
    </row>
    <row r="677" spans="1:7" x14ac:dyDescent="0.45">
      <c r="A677">
        <f>MONTH(Budget[[#This Row],[Date]])</f>
        <v>1</v>
      </c>
      <c r="G677" s="2">
        <f>SUM(G676+Budget[[#This Row],[Income]]-Budget[[#This Row],[Debit]])</f>
        <v>-6928.0199999999977</v>
      </c>
    </row>
    <row r="678" spans="1:7" x14ac:dyDescent="0.45">
      <c r="A678">
        <f>MONTH(Budget[[#This Row],[Date]])</f>
        <v>1</v>
      </c>
      <c r="G678" s="2">
        <f>SUM(G677+Budget[[#This Row],[Income]]-Budget[[#This Row],[Debit]])</f>
        <v>-6928.0199999999977</v>
      </c>
    </row>
    <row r="679" spans="1:7" x14ac:dyDescent="0.45">
      <c r="A679">
        <f>MONTH(Budget[[#This Row],[Date]])</f>
        <v>1</v>
      </c>
      <c r="G679" s="2">
        <f>SUM(G678+Budget[[#This Row],[Income]]-Budget[[#This Row],[Debit]])</f>
        <v>-6928.0199999999977</v>
      </c>
    </row>
    <row r="680" spans="1:7" x14ac:dyDescent="0.45">
      <c r="A680">
        <f>MONTH(Budget[[#This Row],[Date]])</f>
        <v>1</v>
      </c>
      <c r="G680" s="2">
        <f>SUM(G679+Budget[[#This Row],[Income]]-Budget[[#This Row],[Debit]])</f>
        <v>-6928.0199999999977</v>
      </c>
    </row>
    <row r="681" spans="1:7" x14ac:dyDescent="0.45">
      <c r="A681">
        <f>MONTH(Budget[[#This Row],[Date]])</f>
        <v>1</v>
      </c>
      <c r="G681" s="2">
        <f>SUM(G680+Budget[[#This Row],[Income]]-Budget[[#This Row],[Debit]])</f>
        <v>-6928.0199999999977</v>
      </c>
    </row>
    <row r="682" spans="1:7" x14ac:dyDescent="0.45">
      <c r="A682">
        <f>MONTH(Budget[[#This Row],[Date]])</f>
        <v>1</v>
      </c>
      <c r="G682" s="2">
        <f>SUM(G681+Budget[[#This Row],[Income]]-Budget[[#This Row],[Debit]])</f>
        <v>-6928.0199999999977</v>
      </c>
    </row>
    <row r="683" spans="1:7" x14ac:dyDescent="0.45">
      <c r="A683">
        <f>MONTH(Budget[[#This Row],[Date]])</f>
        <v>1</v>
      </c>
      <c r="G683" s="2">
        <f>SUM(G682+Budget[[#This Row],[Income]]-Budget[[#This Row],[Debit]])</f>
        <v>-6928.0199999999977</v>
      </c>
    </row>
    <row r="684" spans="1:7" x14ac:dyDescent="0.45">
      <c r="A684">
        <f>MONTH(Budget[[#This Row],[Date]])</f>
        <v>1</v>
      </c>
      <c r="G684" s="2">
        <f>SUM(G683+Budget[[#This Row],[Income]]-Budget[[#This Row],[Debit]])</f>
        <v>-6928.0199999999977</v>
      </c>
    </row>
    <row r="685" spans="1:7" x14ac:dyDescent="0.45">
      <c r="A685">
        <f>MONTH(Budget[[#This Row],[Date]])</f>
        <v>1</v>
      </c>
      <c r="G685" s="2">
        <f>SUM(G684+Budget[[#This Row],[Income]]-Budget[[#This Row],[Debit]])</f>
        <v>-6928.0199999999977</v>
      </c>
    </row>
    <row r="686" spans="1:7" x14ac:dyDescent="0.45">
      <c r="A686">
        <f>MONTH(Budget[[#This Row],[Date]])</f>
        <v>1</v>
      </c>
      <c r="G686" s="2">
        <f>SUM(G685+Budget[[#This Row],[Income]]-Budget[[#This Row],[Debit]])</f>
        <v>-6928.0199999999977</v>
      </c>
    </row>
  </sheetData>
  <dataConsolidate/>
  <conditionalFormatting sqref="C3">
    <cfRule type="dataBar" priority="13">
      <dataBar>
        <cfvo type="num" val="0"/>
        <cfvo type="num" val="1500"/>
        <color rgb="FF63C384"/>
      </dataBar>
      <extLst>
        <ext xmlns:x14="http://schemas.microsoft.com/office/spreadsheetml/2009/9/main" uri="{B025F937-C7B1-47D3-B67F-A62EFF666E3E}">
          <x14:id>{5174A021-4B17-4B87-B4B9-289DB9C57023}</x14:id>
        </ext>
      </extLst>
    </cfRule>
  </conditionalFormatting>
  <conditionalFormatting sqref="C4">
    <cfRule type="dataBar" priority="12">
      <dataBar>
        <cfvo type="num" val="0"/>
        <cfvo type="num" val="150"/>
        <color rgb="FFFF555A"/>
      </dataBar>
      <extLst>
        <ext xmlns:x14="http://schemas.microsoft.com/office/spreadsheetml/2009/9/main" uri="{B025F937-C7B1-47D3-B67F-A62EFF666E3E}">
          <x14:id>{2AA71400-BCB9-4550-B5AD-EFD60F923731}</x14:id>
        </ext>
      </extLst>
    </cfRule>
  </conditionalFormatting>
  <conditionalFormatting sqref="C5">
    <cfRule type="dataBar" priority="11">
      <dataBar>
        <cfvo type="num" val="0"/>
        <cfvo type="num" val="200"/>
        <color rgb="FFFF555A"/>
      </dataBar>
      <extLst>
        <ext xmlns:x14="http://schemas.microsoft.com/office/spreadsheetml/2009/9/main" uri="{B025F937-C7B1-47D3-B67F-A62EFF666E3E}">
          <x14:id>{AB73EE3F-475A-434A-8149-1BBD90124457}</x14:id>
        </ext>
      </extLst>
    </cfRule>
  </conditionalFormatting>
  <conditionalFormatting sqref="C6">
    <cfRule type="dataBar" priority="9">
      <dataBar>
        <cfvo type="num" val="0"/>
        <cfvo type="num" val="200"/>
        <color rgb="FFFF555A"/>
      </dataBar>
      <extLst>
        <ext xmlns:x14="http://schemas.microsoft.com/office/spreadsheetml/2009/9/main" uri="{B025F937-C7B1-47D3-B67F-A62EFF666E3E}">
          <x14:id>{952FC668-0372-4A0C-A256-C60AC95A673A}</x14:id>
        </ext>
      </extLst>
    </cfRule>
  </conditionalFormatting>
  <conditionalFormatting sqref="D10:D686">
    <cfRule type="containsText" dxfId="5" priority="3" operator="containsText" text="ZELLE">
      <formula>NOT(ISERROR(SEARCH("ZELLE",D10)))</formula>
    </cfRule>
    <cfRule type="containsText" dxfId="4" priority="4" operator="containsText" text="Savings">
      <formula>NOT(ISERROR(SEARCH("Savings",D10)))</formula>
    </cfRule>
    <cfRule type="containsText" dxfId="3" priority="5" operator="containsText" text="PAYMENT">
      <formula>NOT(ISERROR(SEARCH("PAYMENT",D10)))</formula>
    </cfRule>
    <cfRule type="containsText" dxfId="2" priority="6" operator="containsText" text="Income">
      <formula>NOT(ISERROR(SEARCH("Income",D10)))</formula>
    </cfRule>
  </conditionalFormatting>
  <conditionalFormatting sqref="E10:E686">
    <cfRule type="cellIs" dxfId="1" priority="1" operator="greaterThan">
      <formula>0</formula>
    </cfRule>
    <cfRule type="cellIs" dxfId="0" priority="2" operator="lessThan">
      <formula>0</formula>
    </cfRule>
  </conditionalFormatting>
  <dataValidations count="2">
    <dataValidation type="list" allowBlank="1" showInputMessage="1" showErrorMessage="1" sqref="D9 D687:D1048576" xr:uid="{5C891DFA-A50B-453E-A628-99934627A8E8}">
      <formula1>"Income, Gas, Groceries, Entertainment, Savings, CREDIT"</formula1>
    </dataValidation>
    <dataValidation type="list" allowBlank="1" showInputMessage="1" showErrorMessage="1" sqref="D10:D686" xr:uid="{EAA55933-579C-4460-9214-EFF49DAB5756}">
      <formula1>"Income, Savings, ZELLE, Groceries, Food, Savings, Gas, CREDIT, INTEREST Savings, PAYMENT"</formula1>
    </dataValidation>
  </dataValidations>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5174A021-4B17-4B87-B4B9-289DB9C57023}">
            <x14:dataBar minLength="0" maxLength="100" gradient="0">
              <x14:cfvo type="num">
                <xm:f>0</xm:f>
              </x14:cfvo>
              <x14:cfvo type="num">
                <xm:f>1500</xm:f>
              </x14:cfvo>
              <x14:negativeFillColor rgb="FFFF0000"/>
              <x14:axisColor rgb="FF000000"/>
            </x14:dataBar>
          </x14:cfRule>
          <xm:sqref>C3</xm:sqref>
        </x14:conditionalFormatting>
        <x14:conditionalFormatting xmlns:xm="http://schemas.microsoft.com/office/excel/2006/main">
          <x14:cfRule type="dataBar" id="{2AA71400-BCB9-4550-B5AD-EFD60F923731}">
            <x14:dataBar minLength="0" maxLength="100" gradient="0">
              <x14:cfvo type="num">
                <xm:f>0</xm:f>
              </x14:cfvo>
              <x14:cfvo type="num">
                <xm:f>150</xm:f>
              </x14:cfvo>
              <x14:negativeFillColor rgb="FFFF0000"/>
              <x14:axisColor rgb="FF000000"/>
            </x14:dataBar>
          </x14:cfRule>
          <xm:sqref>C4</xm:sqref>
        </x14:conditionalFormatting>
        <x14:conditionalFormatting xmlns:xm="http://schemas.microsoft.com/office/excel/2006/main">
          <x14:cfRule type="dataBar" id="{AB73EE3F-475A-434A-8149-1BBD90124457}">
            <x14:dataBar minLength="0" maxLength="100" gradient="0">
              <x14:cfvo type="num">
                <xm:f>0</xm:f>
              </x14:cfvo>
              <x14:cfvo type="num">
                <xm:f>200</xm:f>
              </x14:cfvo>
              <x14:negativeFillColor rgb="FFFF0000"/>
              <x14:axisColor rgb="FF000000"/>
            </x14:dataBar>
          </x14:cfRule>
          <xm:sqref>C5</xm:sqref>
        </x14:conditionalFormatting>
        <x14:conditionalFormatting xmlns:xm="http://schemas.microsoft.com/office/excel/2006/main">
          <x14:cfRule type="dataBar" id="{952FC668-0372-4A0C-A256-C60AC95A673A}">
            <x14:dataBar minLength="0" maxLength="100" gradient="0">
              <x14:cfvo type="num">
                <xm:f>0</xm:f>
              </x14:cfvo>
              <x14:cfvo type="num">
                <xm:f>200</xm:f>
              </x14:cfvo>
              <x14:negativeFillColor rgb="FFFF0000"/>
              <x14:axisColor rgb="FF000000"/>
            </x14:dataBar>
          </x14:cfRule>
          <xm:sqref>C6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56737-9FA5-4371-98F3-5A3B163F9609}">
  <sheetPr>
    <tabColor theme="5" tint="-0.249977111117893"/>
  </sheetPr>
  <dimension ref="A1:L21"/>
  <sheetViews>
    <sheetView workbookViewId="0">
      <selection activeCell="D4" sqref="D4"/>
    </sheetView>
  </sheetViews>
  <sheetFormatPr defaultRowHeight="14.25" x14ac:dyDescent="0.45"/>
  <sheetData>
    <row r="1" spans="1:12" ht="14.65" thickBot="1" x14ac:dyDescent="0.5">
      <c r="A1" s="85">
        <v>45784</v>
      </c>
      <c r="B1" s="85"/>
      <c r="C1" s="85"/>
      <c r="D1" s="85"/>
      <c r="E1" s="85"/>
      <c r="F1" s="85"/>
      <c r="G1" s="85"/>
      <c r="H1" s="85"/>
      <c r="I1" s="85"/>
      <c r="J1" s="85"/>
      <c r="K1" s="85"/>
      <c r="L1" s="85"/>
    </row>
    <row r="2" spans="1:12" ht="56.25" thickBot="1" x14ac:dyDescent="0.5">
      <c r="A2" s="53" t="s">
        <v>172</v>
      </c>
      <c r="B2" s="54" t="s">
        <v>173</v>
      </c>
      <c r="C2" s="54" t="s">
        <v>174</v>
      </c>
      <c r="D2" s="54" t="s">
        <v>175</v>
      </c>
      <c r="E2" s="54" t="s">
        <v>176</v>
      </c>
      <c r="F2" s="54" t="s">
        <v>177</v>
      </c>
      <c r="G2" s="54" t="s">
        <v>178</v>
      </c>
      <c r="H2" s="54" t="s">
        <v>179</v>
      </c>
      <c r="I2" s="54" t="s">
        <v>180</v>
      </c>
      <c r="J2" s="54" t="s">
        <v>181</v>
      </c>
      <c r="K2" s="54" t="s">
        <v>182</v>
      </c>
      <c r="L2" s="55" t="s">
        <v>183</v>
      </c>
    </row>
    <row r="3" spans="1:12" ht="71.650000000000006" thickBot="1" x14ac:dyDescent="0.5">
      <c r="A3" s="56" t="s">
        <v>184</v>
      </c>
      <c r="B3" s="57" t="s">
        <v>185</v>
      </c>
      <c r="C3" s="57">
        <v>1.137</v>
      </c>
      <c r="D3" s="58">
        <v>33.25</v>
      </c>
      <c r="E3" s="59">
        <v>0.44</v>
      </c>
      <c r="F3" s="58">
        <v>37.799999999999997</v>
      </c>
      <c r="G3" s="59">
        <v>0.5</v>
      </c>
      <c r="H3" s="60">
        <v>1.34E-2</v>
      </c>
      <c r="I3" s="61">
        <v>-1.1200000000000001</v>
      </c>
      <c r="J3" s="62">
        <v>-2.8799999999999999E-2</v>
      </c>
      <c r="K3" s="58">
        <v>34.229999999999997</v>
      </c>
      <c r="L3" s="63">
        <v>38.92</v>
      </c>
    </row>
    <row r="4" spans="1:12" ht="85.9" thickBot="1" x14ac:dyDescent="0.5">
      <c r="A4" s="56" t="s">
        <v>186</v>
      </c>
      <c r="B4" s="57" t="s">
        <v>187</v>
      </c>
      <c r="C4" s="57">
        <v>11.228999999999999</v>
      </c>
      <c r="D4" s="58">
        <v>8.66</v>
      </c>
      <c r="E4" s="61">
        <v>-0.05</v>
      </c>
      <c r="F4" s="58">
        <v>97.24</v>
      </c>
      <c r="G4" s="61">
        <v>-0.56000000000000005</v>
      </c>
      <c r="H4" s="62">
        <v>-5.7000000000000002E-3</v>
      </c>
      <c r="I4" s="61">
        <v>-0.25</v>
      </c>
      <c r="J4" s="62">
        <v>-2.5999999999999999E-3</v>
      </c>
      <c r="K4" s="58">
        <v>8.68</v>
      </c>
      <c r="L4" s="63">
        <v>97.49</v>
      </c>
    </row>
    <row r="5" spans="1:12" ht="85.9" thickBot="1" x14ac:dyDescent="0.5">
      <c r="A5" s="56" t="s">
        <v>188</v>
      </c>
      <c r="B5" s="57" t="s">
        <v>189</v>
      </c>
      <c r="C5" s="57">
        <v>4.3739999999999997</v>
      </c>
      <c r="D5" s="58">
        <v>21.72</v>
      </c>
      <c r="E5" s="59">
        <v>0.09</v>
      </c>
      <c r="F5" s="58">
        <v>95.02</v>
      </c>
      <c r="G5" s="59">
        <v>0.39</v>
      </c>
      <c r="H5" s="60">
        <v>4.1000000000000003E-3</v>
      </c>
      <c r="I5" s="61">
        <v>-1.56</v>
      </c>
      <c r="J5" s="62">
        <v>-1.6199999999999999E-2</v>
      </c>
      <c r="K5" s="58">
        <v>22.08</v>
      </c>
      <c r="L5" s="63">
        <v>96.58</v>
      </c>
    </row>
    <row r="6" spans="1:12" ht="85.9" thickBot="1" x14ac:dyDescent="0.5">
      <c r="A6" s="56" t="s">
        <v>190</v>
      </c>
      <c r="B6" s="57" t="s">
        <v>189</v>
      </c>
      <c r="C6" s="57">
        <v>1.5980000000000001</v>
      </c>
      <c r="D6" s="58">
        <v>18.12</v>
      </c>
      <c r="E6" s="59">
        <v>0.06</v>
      </c>
      <c r="F6" s="58">
        <v>28.95</v>
      </c>
      <c r="G6" s="59">
        <v>0.1</v>
      </c>
      <c r="H6" s="60">
        <v>3.3E-3</v>
      </c>
      <c r="I6" s="61">
        <v>-0.03</v>
      </c>
      <c r="J6" s="62">
        <v>-1E-3</v>
      </c>
      <c r="K6" s="58">
        <v>18.14</v>
      </c>
      <c r="L6" s="63">
        <v>28.98</v>
      </c>
    </row>
    <row r="7" spans="1:12" ht="85.9" thickBot="1" x14ac:dyDescent="0.5">
      <c r="A7" s="56" t="s">
        <v>191</v>
      </c>
      <c r="B7" s="57" t="s">
        <v>189</v>
      </c>
      <c r="C7" s="57">
        <v>1.849</v>
      </c>
      <c r="D7" s="58">
        <v>15.61</v>
      </c>
      <c r="E7" s="59">
        <v>0.06</v>
      </c>
      <c r="F7" s="58">
        <v>28.86</v>
      </c>
      <c r="G7" s="59">
        <v>0.11</v>
      </c>
      <c r="H7" s="60">
        <v>3.8999999999999998E-3</v>
      </c>
      <c r="I7" s="61">
        <v>-0.09</v>
      </c>
      <c r="J7" s="62">
        <v>-3.0999999999999999E-3</v>
      </c>
      <c r="K7" s="58">
        <v>15.66</v>
      </c>
      <c r="L7" s="63">
        <v>28.95</v>
      </c>
    </row>
    <row r="8" spans="1:12" ht="85.9" thickBot="1" x14ac:dyDescent="0.5">
      <c r="A8" s="56" t="s">
        <v>192</v>
      </c>
      <c r="B8" s="57" t="s">
        <v>189</v>
      </c>
      <c r="C8" s="57">
        <v>1.5960000000000001</v>
      </c>
      <c r="D8" s="58">
        <v>18.13</v>
      </c>
      <c r="E8" s="59">
        <v>7.0000000000000007E-2</v>
      </c>
      <c r="F8" s="58">
        <v>28.93</v>
      </c>
      <c r="G8" s="59">
        <v>0.11</v>
      </c>
      <c r="H8" s="60">
        <v>3.8999999999999998E-3</v>
      </c>
      <c r="I8" s="61">
        <v>-0.05</v>
      </c>
      <c r="J8" s="62">
        <v>-1.6999999999999999E-3</v>
      </c>
      <c r="K8" s="58">
        <v>18.16</v>
      </c>
      <c r="L8" s="63">
        <v>28.98</v>
      </c>
    </row>
    <row r="9" spans="1:12" ht="71.650000000000006" thickBot="1" x14ac:dyDescent="0.5">
      <c r="A9" s="56" t="s">
        <v>193</v>
      </c>
      <c r="B9" s="57" t="s">
        <v>194</v>
      </c>
      <c r="C9" s="57">
        <v>9.2309999999999999</v>
      </c>
      <c r="D9" s="58">
        <v>10.57</v>
      </c>
      <c r="E9" s="61">
        <v>-0.04</v>
      </c>
      <c r="F9" s="58">
        <v>97.57</v>
      </c>
      <c r="G9" s="61">
        <v>-0.37</v>
      </c>
      <c r="H9" s="62">
        <v>-3.8E-3</v>
      </c>
      <c r="I9" s="61">
        <v>-0.27</v>
      </c>
      <c r="J9" s="62">
        <v>-2.8E-3</v>
      </c>
      <c r="K9" s="58">
        <v>10.6</v>
      </c>
      <c r="L9" s="63">
        <v>97.84</v>
      </c>
    </row>
    <row r="10" spans="1:12" ht="71.650000000000006" thickBot="1" x14ac:dyDescent="0.5">
      <c r="A10" s="56" t="s">
        <v>195</v>
      </c>
      <c r="B10" s="57" t="s">
        <v>189</v>
      </c>
      <c r="C10" s="57">
        <v>6.391</v>
      </c>
      <c r="D10" s="58">
        <v>14.71</v>
      </c>
      <c r="E10" s="59">
        <v>0.06</v>
      </c>
      <c r="F10" s="58">
        <v>93.99</v>
      </c>
      <c r="G10" s="59">
        <v>0.36</v>
      </c>
      <c r="H10" s="60">
        <v>3.8999999999999998E-3</v>
      </c>
      <c r="I10" s="61">
        <v>-2.83</v>
      </c>
      <c r="J10" s="62">
        <v>-2.92E-2</v>
      </c>
      <c r="K10" s="58">
        <v>15.15</v>
      </c>
      <c r="L10" s="63">
        <v>96.82</v>
      </c>
    </row>
    <row r="11" spans="1:12" ht="85.9" thickBot="1" x14ac:dyDescent="0.5">
      <c r="A11" s="56" t="s">
        <v>196</v>
      </c>
      <c r="B11" s="57" t="s">
        <v>189</v>
      </c>
      <c r="C11" s="57">
        <v>1.512</v>
      </c>
      <c r="D11" s="58">
        <v>19.100000000000001</v>
      </c>
      <c r="E11" s="59">
        <v>0.08</v>
      </c>
      <c r="F11" s="58">
        <v>28.88</v>
      </c>
      <c r="G11" s="59">
        <v>0.12</v>
      </c>
      <c r="H11" s="60">
        <v>4.1999999999999997E-3</v>
      </c>
      <c r="I11" s="61">
        <v>-0.12</v>
      </c>
      <c r="J11" s="62">
        <v>-4.1000000000000003E-3</v>
      </c>
      <c r="K11" s="58">
        <v>19.18</v>
      </c>
      <c r="L11" s="63">
        <v>29</v>
      </c>
    </row>
    <row r="12" spans="1:12" ht="85.9" thickBot="1" x14ac:dyDescent="0.5">
      <c r="A12" s="56" t="s">
        <v>197</v>
      </c>
      <c r="B12" s="57" t="s">
        <v>189</v>
      </c>
      <c r="C12" s="57">
        <v>1.7090000000000001</v>
      </c>
      <c r="D12" s="58">
        <v>16.97</v>
      </c>
      <c r="E12" s="59">
        <v>0.04</v>
      </c>
      <c r="F12" s="58">
        <v>29.01</v>
      </c>
      <c r="G12" s="59">
        <v>7.0000000000000007E-2</v>
      </c>
      <c r="H12" s="60">
        <v>2.3999999999999998E-3</v>
      </c>
      <c r="I12" s="59">
        <v>0.05</v>
      </c>
      <c r="J12" s="60">
        <v>1.6999999999999999E-3</v>
      </c>
      <c r="K12" s="58">
        <v>16.95</v>
      </c>
      <c r="L12" s="63">
        <v>28.96</v>
      </c>
    </row>
    <row r="13" spans="1:12" ht="71.650000000000006" thickBot="1" x14ac:dyDescent="0.5">
      <c r="A13" s="56" t="s">
        <v>198</v>
      </c>
      <c r="B13" s="57" t="s">
        <v>199</v>
      </c>
      <c r="C13" s="57">
        <v>0.249</v>
      </c>
      <c r="D13" s="58">
        <v>81.47</v>
      </c>
      <c r="E13" s="59">
        <v>0.18</v>
      </c>
      <c r="F13" s="58">
        <v>20.28</v>
      </c>
      <c r="G13" s="59">
        <v>0.04</v>
      </c>
      <c r="H13" s="60">
        <v>2.2000000000000001E-3</v>
      </c>
      <c r="I13" s="59">
        <v>0.73</v>
      </c>
      <c r="J13" s="60">
        <v>3.73E-2</v>
      </c>
      <c r="K13" s="58">
        <v>78.510000000000005</v>
      </c>
      <c r="L13" s="63">
        <v>19.55</v>
      </c>
    </row>
    <row r="14" spans="1:12" ht="85.9" thickBot="1" x14ac:dyDescent="0.5">
      <c r="A14" s="56" t="s">
        <v>200</v>
      </c>
      <c r="B14" s="57" t="s">
        <v>189</v>
      </c>
      <c r="C14" s="57">
        <v>1.645</v>
      </c>
      <c r="D14" s="58">
        <v>17.59</v>
      </c>
      <c r="E14" s="59">
        <v>0.05</v>
      </c>
      <c r="F14" s="58">
        <v>28.94</v>
      </c>
      <c r="G14" s="59">
        <v>0.08</v>
      </c>
      <c r="H14" s="60">
        <v>2.8999999999999998E-3</v>
      </c>
      <c r="I14" s="61">
        <v>-0.05</v>
      </c>
      <c r="J14" s="62">
        <v>-1.6999999999999999E-3</v>
      </c>
      <c r="K14" s="58">
        <v>17.62</v>
      </c>
      <c r="L14" s="63">
        <v>28.99</v>
      </c>
    </row>
    <row r="15" spans="1:12" ht="71.650000000000006" thickBot="1" x14ac:dyDescent="0.5">
      <c r="A15" s="56" t="s">
        <v>201</v>
      </c>
      <c r="B15" s="57" t="s">
        <v>189</v>
      </c>
      <c r="C15" s="57">
        <v>77.45</v>
      </c>
      <c r="D15" s="58">
        <v>1</v>
      </c>
      <c r="E15" s="58">
        <v>0</v>
      </c>
      <c r="F15" s="58">
        <v>77.45</v>
      </c>
      <c r="G15" s="58">
        <v>0</v>
      </c>
      <c r="H15" s="64">
        <v>0</v>
      </c>
      <c r="I15" s="58">
        <v>0</v>
      </c>
      <c r="J15" s="64">
        <v>0</v>
      </c>
      <c r="K15" s="58">
        <v>1</v>
      </c>
      <c r="L15" s="63">
        <v>77.45</v>
      </c>
    </row>
    <row r="16" spans="1:12" ht="57.4" thickBot="1" x14ac:dyDescent="0.5">
      <c r="A16" s="56" t="s">
        <v>202</v>
      </c>
      <c r="B16" s="57" t="s">
        <v>203</v>
      </c>
      <c r="C16" s="57">
        <v>0.47899999999999998</v>
      </c>
      <c r="D16" s="58">
        <v>196.8</v>
      </c>
      <c r="E16" s="59">
        <v>1.1399999999999999</v>
      </c>
      <c r="F16" s="58">
        <v>94.27</v>
      </c>
      <c r="G16" s="59">
        <v>0.55000000000000004</v>
      </c>
      <c r="H16" s="60">
        <v>5.7999999999999996E-3</v>
      </c>
      <c r="I16" s="61">
        <v>-2.84</v>
      </c>
      <c r="J16" s="62">
        <v>-2.92E-2</v>
      </c>
      <c r="K16" s="58">
        <v>202.73</v>
      </c>
      <c r="L16" s="63">
        <v>97.11</v>
      </c>
    </row>
    <row r="17" spans="1:12" ht="71.650000000000006" thickBot="1" x14ac:dyDescent="0.5">
      <c r="A17" s="56" t="s">
        <v>204</v>
      </c>
      <c r="B17" s="57" t="s">
        <v>205</v>
      </c>
      <c r="C17" s="57">
        <v>1.421</v>
      </c>
      <c r="D17" s="58">
        <v>25.27</v>
      </c>
      <c r="E17" s="59">
        <v>0.46</v>
      </c>
      <c r="F17" s="58">
        <v>35.909999999999997</v>
      </c>
      <c r="G17" s="59">
        <v>0.65</v>
      </c>
      <c r="H17" s="60">
        <v>1.8499999999999999E-2</v>
      </c>
      <c r="I17" s="61">
        <v>-3.02</v>
      </c>
      <c r="J17" s="62">
        <v>-7.7600000000000002E-2</v>
      </c>
      <c r="K17" s="58">
        <v>27.4</v>
      </c>
      <c r="L17" s="63">
        <v>38.93</v>
      </c>
    </row>
    <row r="18" spans="1:12" ht="71.650000000000006" thickBot="1" x14ac:dyDescent="0.5">
      <c r="A18" s="56" t="s">
        <v>206</v>
      </c>
      <c r="B18" s="57" t="s">
        <v>207</v>
      </c>
      <c r="C18" s="57">
        <v>0.83299999999999996</v>
      </c>
      <c r="D18" s="58">
        <v>24.62</v>
      </c>
      <c r="E18" s="58">
        <v>0</v>
      </c>
      <c r="F18" s="58">
        <v>20.51</v>
      </c>
      <c r="G18" s="58">
        <v>0</v>
      </c>
      <c r="H18" s="64">
        <v>0</v>
      </c>
      <c r="I18" s="59">
        <v>1.02</v>
      </c>
      <c r="J18" s="60">
        <v>5.2299999999999999E-2</v>
      </c>
      <c r="K18" s="58">
        <v>23.4</v>
      </c>
      <c r="L18" s="63">
        <v>19.489999999999998</v>
      </c>
    </row>
    <row r="19" spans="1:12" ht="71.650000000000006" thickBot="1" x14ac:dyDescent="0.5">
      <c r="A19" s="56" t="s">
        <v>208</v>
      </c>
      <c r="B19" s="57" t="s">
        <v>209</v>
      </c>
      <c r="C19" s="57">
        <v>9.4450000000000003</v>
      </c>
      <c r="D19" s="58">
        <v>10.3</v>
      </c>
      <c r="E19" s="61">
        <v>-0.06</v>
      </c>
      <c r="F19" s="58">
        <v>97.28</v>
      </c>
      <c r="G19" s="61">
        <v>-0.56999999999999995</v>
      </c>
      <c r="H19" s="62">
        <v>-5.7999999999999996E-3</v>
      </c>
      <c r="I19" s="61">
        <v>-0.01</v>
      </c>
      <c r="J19" s="62">
        <v>-1E-4</v>
      </c>
      <c r="K19" s="58">
        <v>10.3</v>
      </c>
      <c r="L19" s="63">
        <v>97.29</v>
      </c>
    </row>
    <row r="20" spans="1:12" ht="71.650000000000006" thickBot="1" x14ac:dyDescent="0.5">
      <c r="A20" s="56" t="s">
        <v>210</v>
      </c>
      <c r="B20" s="57" t="s">
        <v>211</v>
      </c>
      <c r="C20" s="57">
        <v>1.3819999999999999</v>
      </c>
      <c r="D20" s="58">
        <v>14.8</v>
      </c>
      <c r="E20" s="61">
        <v>-0.04</v>
      </c>
      <c r="F20" s="58">
        <v>20.45</v>
      </c>
      <c r="G20" s="61">
        <v>-0.06</v>
      </c>
      <c r="H20" s="62">
        <v>-2.7000000000000001E-3</v>
      </c>
      <c r="I20" s="59">
        <v>1.03</v>
      </c>
      <c r="J20" s="60">
        <v>5.2999999999999999E-2</v>
      </c>
      <c r="K20" s="58">
        <v>14.05</v>
      </c>
      <c r="L20" s="63">
        <v>19.420000000000002</v>
      </c>
    </row>
    <row r="21" spans="1:12" ht="14.65" thickBot="1" x14ac:dyDescent="0.5">
      <c r="A21" s="65" t="s">
        <v>10</v>
      </c>
      <c r="B21" s="66" t="s">
        <v>189</v>
      </c>
      <c r="C21" s="66" t="s">
        <v>189</v>
      </c>
      <c r="D21" s="66" t="s">
        <v>189</v>
      </c>
      <c r="E21" s="66" t="s">
        <v>189</v>
      </c>
      <c r="F21" s="67">
        <v>961.34</v>
      </c>
      <c r="G21" s="68">
        <v>1.53</v>
      </c>
      <c r="H21" s="69">
        <v>1.6000000000000001E-3</v>
      </c>
      <c r="I21" s="70">
        <v>-9.41</v>
      </c>
      <c r="J21" s="71">
        <v>-9.7000000000000003E-3</v>
      </c>
      <c r="K21" s="66"/>
      <c r="L21" s="52"/>
    </row>
  </sheetData>
  <mergeCells count="1">
    <mergeCell ref="A1:L1"/>
  </mergeCells>
  <hyperlinks>
    <hyperlink ref="A3" r:id="rId1" display="https://workplaceservices.fidelity.com/mybenefits/workplacefunds/summary/2352?suppressFundFactSheet=true" xr:uid="{80FF66B7-8F70-4E57-959B-7D18422D58FA}"/>
    <hyperlink ref="A4" r:id="rId2" display="https://workplaceservices.fidelity.com/mybenefits/workplacefunds/summary/OVDP?suppressFundFactSheet=true" xr:uid="{316497DC-2050-44E4-83AA-71C5C437F58E}"/>
    <hyperlink ref="A5" r:id="rId3" display="https://workplaceservices.fidelity.com/mybenefits/workplacefunds/summary/ODO7?suppressFundFactSheet=true" xr:uid="{49733300-38BD-4099-90F8-163BEB636818}"/>
    <hyperlink ref="A6" r:id="rId4" display="https://workplaceservices.fidelity.com/mybenefits/workplacefunds/summary/PCJ1?suppressFundFactSheet=true" xr:uid="{E4642CD3-8C09-476B-BD02-78B0DD4A802E}"/>
    <hyperlink ref="A7" r:id="rId5" display="https://workplaceservices.fidelity.com/mybenefits/workplacefunds/summary/PCM1?suppressFundFactSheet=true" xr:uid="{DC571EA0-51FB-4E5E-9EA2-F9A617A32220}"/>
    <hyperlink ref="A8" r:id="rId6" display="https://workplaceservices.fidelity.com/mybenefits/workplacefunds/summary/PCK1?suppressFundFactSheet=true" xr:uid="{C903142C-724A-4AC8-A3EB-177EDEA4708C}"/>
    <hyperlink ref="A9" r:id="rId7" display="https://workplaceservices.fidelity.com/mybenefits/workplacefunds/summary/OEKN?suppressFundFactSheet=true" xr:uid="{40E6E87E-5102-4D4C-8D19-FD7254C973EE}"/>
    <hyperlink ref="A10" r:id="rId8" display="https://workplaceservices.fidelity.com/mybenefits/workplacefunds/summary/O1RW?suppressFundFactSheet=true" xr:uid="{2E2AD4F1-24E2-43A5-9F02-C8E38FB9C988}"/>
    <hyperlink ref="A11" r:id="rId9" display="https://workplaceservices.fidelity.com/mybenefits/workplacefunds/summary/PCL1?suppressFundFactSheet=true" xr:uid="{92679B16-14E3-433B-81B6-40AA9D61636A}"/>
    <hyperlink ref="A12" r:id="rId10" display="https://workplaceservices.fidelity.com/mybenefits/workplacefunds/summary/PCG1?suppressFundFactSheet=true" xr:uid="{94858AD1-87EA-42FE-8615-00FFDF70DCFC}"/>
    <hyperlink ref="A13" r:id="rId11" display="https://workplaceservices.fidelity.com/mybenefits/workplacefunds/summary/OUFP?suppressFundFactSheet=true" xr:uid="{D5BA7294-85B9-4B6C-8C8A-C3E9F3C3B23B}"/>
    <hyperlink ref="A14" r:id="rId12" display="https://workplaceservices.fidelity.com/mybenefits/workplacefunds/summary/PCH1?suppressFundFactSheet=true" xr:uid="{688B01CA-FCF9-48E8-B353-951066CBC91D}"/>
    <hyperlink ref="A15" r:id="rId13" display="https://workplaceservices.fidelity.com/mybenefits/workplacefunds/summary/GD3B?suppressFundFactSheet=true" xr:uid="{C53CAE7D-2E15-45D7-A0CF-5449FD40BE28}"/>
    <hyperlink ref="A16" r:id="rId14" display="https://workplaceservices.fidelity.com/mybenefits/workplacefunds/summary/2328?suppressFundFactSheet=true" xr:uid="{AF0014E1-0E30-4B06-80B4-927B7EE64D59}"/>
    <hyperlink ref="A17" r:id="rId15" display="https://workplaceservices.fidelity.com/mybenefits/workplacefunds/summary/2358?suppressFundFactSheet=true" xr:uid="{ACE2F09C-9ADF-4E2D-84A5-263CE4F0941F}"/>
    <hyperlink ref="A18" r:id="rId16" display="https://workplaceservices.fidelity.com/mybenefits/workplacefunds/summary/OUCG?suppressFundFactSheet=true" xr:uid="{5DECC48E-A777-487B-BDCE-2A533D2E966E}"/>
    <hyperlink ref="A19" r:id="rId17" display="https://workplaceservices.fidelity.com/mybenefits/workplacefunds/summary/2326?suppressFundFactSheet=true" xr:uid="{BD042AC7-8A1C-4556-96B6-30F414B03129}"/>
    <hyperlink ref="A20" r:id="rId18" display="https://workplaceservices.fidelity.com/mybenefits/workplacefunds/summary/2834?suppressFundFactSheet=true" xr:uid="{C1E573FE-53D6-4912-9E4A-86E83858A0B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9903F59EDA784C859DF18D37AF3993" ma:contentTypeVersion="1" ma:contentTypeDescription="Create a new document." ma:contentTypeScope="" ma:versionID="9fa675e231841231002604b4ee894367">
  <xsd:schema xmlns:xsd="http://www.w3.org/2001/XMLSchema" xmlns:xs="http://www.w3.org/2001/XMLSchema" xmlns:p="http://schemas.microsoft.com/office/2006/metadata/properties" xmlns:ns3="9da0d839-ef76-4ac8-bf31-d3f955e09731" targetNamespace="http://schemas.microsoft.com/office/2006/metadata/properties" ma:root="true" ma:fieldsID="c399d748ad9aa9ff4d3fdf97ebfae74d" ns3:_="">
    <xsd:import namespace="9da0d839-ef76-4ac8-bf31-d3f955e09731"/>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a0d839-ef76-4ac8-bf31-d3f955e0973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6AB115-83E4-4A65-B32A-DAE2ACBA9C6C}">
  <ds:schemaRefs>
    <ds:schemaRef ds:uri="http://schemas.microsoft.com/sharepoint/v3/contenttype/forms"/>
  </ds:schemaRefs>
</ds:datastoreItem>
</file>

<file path=customXml/itemProps2.xml><?xml version="1.0" encoding="utf-8"?>
<ds:datastoreItem xmlns:ds="http://schemas.openxmlformats.org/officeDocument/2006/customXml" ds:itemID="{83022637-55DB-441B-AC59-C1C6F774F74F}">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FCCE0AD2-B558-409C-A397-92B150D4E02D}">
  <ds:schemaRefs>
    <ds:schemaRef ds:uri="http://schemas.microsoft.com/office/2006/metadata/contentType"/>
    <ds:schemaRef ds:uri="http://schemas.microsoft.com/office/2006/metadata/properties/metaAttributes"/>
    <ds:schemaRef ds:uri="http://www.w3.org/2000/xmlns/"/>
    <ds:schemaRef ds:uri="http://www.w3.org/2001/XMLSchema"/>
    <ds:schemaRef ds:uri="9da0d839-ef76-4ac8-bf31-d3f955e0973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2025</vt:lpstr>
      <vt:lpstr>2024</vt: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Abigail Darson</dc:creator>
  <cp:keywords/>
  <dc:description/>
  <cp:lastModifiedBy>Abigail Darson</cp:lastModifiedBy>
  <cp:revision/>
  <dcterms:created xsi:type="dcterms:W3CDTF">2024-06-28T02:31:29Z</dcterms:created>
  <dcterms:modified xsi:type="dcterms:W3CDTF">2026-04-02T19:51:50Z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0x010100739903F59EDA784C859DF18D37AF3993</vt:lpwstr>
  </property>
</Properties>
</file>